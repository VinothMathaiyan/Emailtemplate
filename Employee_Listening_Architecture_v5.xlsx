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588CBBF4-F356-493A-B1D4-A224D3D664B7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End-to-End Flow" sheetId="1" r:id="rId1"/>
    <sheet name="All 25 Products" sheetId="2" r:id="rId2"/>
    <sheet name="Overview &amp; Legend" sheetId="3" r:id="rId3"/>
    <sheet name="Data Source → Product Map" sheetId="4" r:id="rId4"/>
    <sheet name="Survey Flow (All Products)" sheetId="5" r:id="rId5"/>
    <sheet name="Data Governanc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4" l="1"/>
  <c r="Q32" i="4"/>
  <c r="P32" i="4"/>
  <c r="O32" i="4"/>
  <c r="N32" i="4"/>
  <c r="M32" i="4"/>
  <c r="H32" i="4"/>
  <c r="G32" i="4"/>
  <c r="F32" i="4"/>
  <c r="E32" i="4"/>
  <c r="D32" i="4"/>
  <c r="R31" i="2"/>
  <c r="N31" i="2"/>
  <c r="J31" i="2"/>
  <c r="F31" i="2"/>
  <c r="B31" i="2"/>
  <c r="R29" i="2"/>
  <c r="N29" i="2"/>
  <c r="J29" i="2"/>
  <c r="F29" i="2"/>
  <c r="B29" i="2"/>
  <c r="R25" i="2"/>
  <c r="N25" i="2"/>
  <c r="J25" i="2"/>
  <c r="F25" i="2"/>
  <c r="B25" i="2"/>
  <c r="R23" i="2"/>
  <c r="N23" i="2"/>
  <c r="J23" i="2"/>
  <c r="F23" i="2"/>
  <c r="B23" i="2"/>
  <c r="R19" i="2"/>
  <c r="N19" i="2"/>
  <c r="J19" i="2"/>
  <c r="F19" i="2"/>
  <c r="B19" i="2"/>
  <c r="R17" i="2"/>
  <c r="N17" i="2"/>
  <c r="J17" i="2"/>
  <c r="F17" i="2"/>
  <c r="B17" i="2"/>
  <c r="R13" i="2"/>
  <c r="N13" i="2"/>
  <c r="J13" i="2"/>
  <c r="F13" i="2"/>
  <c r="B13" i="2"/>
  <c r="R11" i="2"/>
  <c r="N11" i="2"/>
  <c r="J11" i="2"/>
  <c r="F11" i="2"/>
  <c r="B11" i="2"/>
  <c r="R7" i="2"/>
  <c r="N7" i="2"/>
  <c r="J7" i="2"/>
  <c r="F7" i="2"/>
  <c r="B7" i="2"/>
  <c r="R5" i="2"/>
  <c r="N5" i="2"/>
  <c r="J5" i="2"/>
  <c r="F5" i="2"/>
  <c r="B5" i="2"/>
</calcChain>
</file>

<file path=xl/sharedStrings.xml><?xml version="1.0" encoding="utf-8"?>
<sst xmlns="http://schemas.openxmlformats.org/spreadsheetml/2006/main" count="1215" uniqueCount="275">
  <si>
    <t>EMPLOYEE LISTENING  —  END-TO-END ARCHITECTURE FLOW</t>
  </si>
  <si>
    <t>What we know now  ·  25 products  ·  March 2026</t>
  </si>
  <si>
    <t>01  DATA IN</t>
  </si>
  <si>
    <t>02  SURVEY TRIGGER</t>
  </si>
  <si>
    <t>03  COLLECTION</t>
  </si>
  <si>
    <t>04  PROCESSING</t>
  </si>
  <si>
    <t>05  INSIGHTS</t>
  </si>
  <si>
    <t>Data Sources</t>
  </si>
  <si>
    <t>Trigger Logic</t>
  </si>
  <si>
    <t>Survey Platforms</t>
  </si>
  <si>
    <t>ETL &amp; Storage</t>
  </si>
  <si>
    <t>Outputs &amp; Reporting</t>
  </si>
  <si>
    <t>Employee data pulled from:</t>
  </si>
  <si>
    <t>Surveys fire on lifecycle events &amp; schedules:</t>
  </si>
  <si>
    <t>Four platforms currently in use / planned:</t>
  </si>
  <si>
    <t>All responses flow via ETL pipeline into:</t>
  </si>
  <si>
    <t>Insights delivered via:</t>
  </si>
  <si>
    <t>• Workday (workforce) — 18 products planned</t>
  </si>
  <si>
    <t>• Always On — exit, onboarding, HR cases</t>
  </si>
  <si>
    <t>• Qualtrics — LIVE (Your View, Learning)</t>
  </si>
  <si>
    <t>• Microsoft Fabric / OneLake (storage)</t>
  </si>
  <si>
    <t>• Power BI — active (Your View); planned all 25</t>
  </si>
  <si>
    <t>• ServiceNow (HR cases) — 14 products planned</t>
  </si>
  <si>
    <t>• Bi-Annual — Your View, engagement surveys</t>
  </si>
  <si>
    <t>• Viva Glint — LIVE (Training); planned more</t>
  </si>
  <si>
    <t>• Anonymisation applied at ≥5 threshold</t>
  </si>
  <si>
    <t>• Copilot / AI summaries — active 4 products</t>
  </si>
  <si>
    <t>• Manual / CSV uploads — 8 products LIVE today</t>
  </si>
  <si>
    <t>▶</t>
  </si>
  <si>
    <t>• Weekly — org effectiveness tracking</t>
  </si>
  <si>
    <t>• Microsoft Forms — planned (Exit, Barometer)</t>
  </si>
  <si>
    <t>• Microsoft Purview — classification &amp; lineage</t>
  </si>
  <si>
    <t>• Qlik Sense OE App — planned most products</t>
  </si>
  <si>
    <t>• HRDP — golden source target, Q3/Q4 migration</t>
  </si>
  <si>
    <t>• Adhoc — redeployment, strategic surveys</t>
  </si>
  <si>
    <t>• Viva Pulse — planned (Workplace, HR Case)</t>
  </si>
  <si>
    <t>• MMR App (Qlik) — confirmed live output</t>
  </si>
  <si>
    <t>• Monthly — Corporate Comms Pulse</t>
  </si>
  <si>
    <t>GDPR legal review:</t>
  </si>
  <si>
    <t>• SharePoint &amp; Teams — action planning</t>
  </si>
  <si>
    <t>Until HRDP migration completes, Manual CSV</t>
  </si>
  <si>
    <t>Tool rationalisation still outstanding</t>
  </si>
  <si>
    <t>• Complete — Your View &amp; Barometers</t>
  </si>
  <si>
    <t>is the only confirmed active data feed.</t>
  </si>
  <si>
    <t>BNow Task Cards used for distribution</t>
  </si>
  <si>
    <t>for 13 of 25 products (TBD).</t>
  </si>
  <si>
    <t>• In progress — remaining products</t>
  </si>
  <si>
    <t>Executive reporting via OE App.</t>
  </si>
  <si>
    <t>CSV live  ·  WD &amp; SN planned</t>
  </si>
  <si>
    <t>Multi-cadence  ·  BNow task cards</t>
  </si>
  <si>
    <t>4 platforms  ·  13 tools TBD</t>
  </si>
  <si>
    <t>ETL → Fabric  ·  Purview governance</t>
  </si>
  <si>
    <t>Power BI  ·  Copilot  ·  Qlik OE App</t>
  </si>
  <si>
    <t>🔮  MODIS</t>
  </si>
  <si>
    <t>MODIS plugin added for preview in July 2026  ·  We will test the plugin with our systems and align integration with WD, SN and HRDP data flows before full rollout</t>
  </si>
  <si>
    <t>25 SURVEY PRODUCTS ACROSS 4 TYPES:</t>
  </si>
  <si>
    <t>7  Engagement</t>
  </si>
  <si>
    <t>6  Transactional</t>
  </si>
  <si>
    <t>8  Strategic</t>
  </si>
  <si>
    <t>4  Tactical</t>
  </si>
  <si>
    <t>+ MODIS preview July · Full rollout post system alignment</t>
  </si>
  <si>
    <t>■ Active / Confirmed</t>
  </si>
  <si>
    <t>■ Planned (P)</t>
  </si>
  <si>
    <t>■ Tool TBD</t>
  </si>
  <si>
    <t>■ MODIS / Preview</t>
  </si>
  <si>
    <t>Source: Employee Listening Architecture v3   ·   Internal — Confidential   ·   March 2026</t>
  </si>
  <si>
    <t>ALL 25 LISTENING PRODUCTS</t>
  </si>
  <si>
    <t>·</t>
  </si>
  <si>
    <t>✓ = ACTIVE</t>
  </si>
  <si>
    <t>P = PLANNED</t>
  </si>
  <si>
    <t>? = TOOL TBD</t>
  </si>
  <si>
    <t>02</t>
  </si>
  <si>
    <t>03</t>
  </si>
  <si>
    <t>04</t>
  </si>
  <si>
    <t>05</t>
  </si>
  <si>
    <t>✓ Active</t>
  </si>
  <si>
    <t>P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</si>
  <si>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</si>
  <si>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</si>
  <si>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</si>
  <si>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</si>
  <si>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</si>
  <si>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</si>
  <si>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</si>
  <si>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</si>
  <si>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</si>
  <si>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</si>
  <si>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?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</si>
  <si>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</si>
  <si>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</si>
  <si>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</si>
  <si>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</si>
  <si>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</si>
  <si>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</si>
  <si>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</si>
  <si>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</si>
  <si>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</si>
  <si>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</si>
  <si>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■  Active / Confirmed</t>
  </si>
  <si>
    <t>■  Planned (P)</t>
  </si>
  <si>
    <t>■  Tool TBD / Undecided</t>
  </si>
  <si>
    <t>Employee Listening – End-to-End Architecture</t>
  </si>
  <si>
    <t>Data Sources  →  Survey Products  →  Processing  →  Insights  →  Action</t>
  </si>
  <si>
    <t>ARCHITECTURE FLOW</t>
  </si>
  <si>
    <t>1
DATA
SOURCES</t>
  </si>
  <si>
    <t>2
SURVEY
TRIGGER</t>
  </si>
  <si>
    <t>3
COLLECTION</t>
  </si>
  <si>
    <t>4
PROCESSING</t>
  </si>
  <si>
    <t>5
INSIGHTS</t>
  </si>
  <si>
    <t>COLOUR LEGEND</t>
  </si>
  <si>
    <t xml:space="preserve">  Data Sources</t>
  </si>
  <si>
    <t>Workday / ServiceNow / Manual CSV / HRDP</t>
  </si>
  <si>
    <t xml:space="preserve">  Survey Products</t>
  </si>
  <si>
    <t>23 named products from your architecture</t>
  </si>
  <si>
    <t xml:space="preserve">  Confirmed ✓ (Survey Tool)</t>
  </si>
  <si>
    <t>Survey tool confirmed – green background</t>
  </si>
  <si>
    <t xml:space="preserve">  TBD ⚠ (Survey Tool)</t>
  </si>
  <si>
    <t>Survey tool not yet decided – yellow background</t>
  </si>
  <si>
    <t xml:space="preserve">  Planned P</t>
  </si>
  <si>
    <t>Connection / feature planned but not live</t>
  </si>
  <si>
    <t xml:space="preserve">  Output / Reporting Tools</t>
  </si>
  <si>
    <t>Qlik Sense / OE App / SharePoint / Teams</t>
  </si>
  <si>
    <t xml:space="preserve">  Governance</t>
  </si>
  <si>
    <t>Purview, anonymisation, GDPR controls</t>
  </si>
  <si>
    <t xml:space="preserve">  Insights &amp; Reporting</t>
  </si>
  <si>
    <t>Power BI dashboards, Copilot AI summaries</t>
  </si>
  <si>
    <t>SHEETS IN THIS WORKBOOK</t>
  </si>
  <si>
    <t>Overview &amp; Legend</t>
  </si>
  <si>
    <t>Colour codes, flow summary, guide (this sheet)</t>
  </si>
  <si>
    <t>Data Source → Product Map</t>
  </si>
  <si>
    <t>All 23 products mapped to data sources &amp; output tools</t>
  </si>
  <si>
    <t>Survey Flow (All Products)</t>
  </si>
  <si>
    <t>End-to-end: trigger → collect → process → insight</t>
  </si>
  <si>
    <t>Data Governance</t>
  </si>
  <si>
    <t>Owner, sensitivity, retention, Purview, HRDP migration</t>
  </si>
  <si>
    <t>Data Source → Survey Product Mapping</t>
  </si>
  <si>
    <t>✓ = Active (green)   |   P = Planned (orange)   |   - = Not applicable   |   Yellow = Survey tool TBD   |   Teal = Output / Reporting Tools</t>
  </si>
  <si>
    <t>◀  DATA SOURCES  ▶</t>
  </si>
  <si>
    <t>◀  SURVEY PLATFORM  ▶</t>
  </si>
  <si>
    <t>◀  BI &amp; AI INSIGHTS  ▶</t>
  </si>
  <si>
    <t>◀  OUTPUT / REPORTING TOOLS  ▶</t>
  </si>
  <si>
    <t>#</t>
  </si>
  <si>
    <t>Product Name</t>
  </si>
  <si>
    <t>Workday</t>
  </si>
  <si>
    <t>ServiceNow</t>
  </si>
  <si>
    <t>Manual
/ CSV</t>
  </si>
  <si>
    <t>HRDP
(Planned)</t>
  </si>
  <si>
    <t>Other
Source</t>
  </si>
  <si>
    <t>Survey Tool
(Glint / Pulse / Qualtrics / Forms)</t>
  </si>
  <si>
    <t>Trigger</t>
  </si>
  <si>
    <t>Distribution Channel</t>
  </si>
  <si>
    <t>Survey Type</t>
  </si>
  <si>
    <t>Power BI
Dashboard</t>
  </si>
  <si>
    <t>Copilot /
AI Insights</t>
  </si>
  <si>
    <t>Glint
Dashboard</t>
  </si>
  <si>
    <t>Qlik Sense
MMR App</t>
  </si>
  <si>
    <t>Qlik Sense
OE App</t>
  </si>
  <si>
    <t>Other Output
Tool</t>
  </si>
  <si>
    <t>1</t>
  </si>
  <si>
    <t>Your View - Spring 2026 (Pilot)</t>
  </si>
  <si>
    <t>-</t>
  </si>
  <si>
    <t>✓</t>
  </si>
  <si>
    <t>Qualtrics</t>
  </si>
  <si>
    <t>Bi Annual</t>
  </si>
  <si>
    <t>Qualtrics + BNow Task card</t>
  </si>
  <si>
    <t>Recurring</t>
  </si>
  <si>
    <t>2</t>
  </si>
  <si>
    <t>Your View - Spring 2026</t>
  </si>
  <si>
    <t>Engagement</t>
  </si>
  <si>
    <t>3</t>
  </si>
  <si>
    <t>Your View - Autumn 2026</t>
  </si>
  <si>
    <t>4</t>
  </si>
  <si>
    <t>Hiring Manager - Recruitment</t>
  </si>
  <si>
    <t>Viva Glint??</t>
  </si>
  <si>
    <t>Always On</t>
  </si>
  <si>
    <t>Glint + BNow Task card</t>
  </si>
  <si>
    <t>5</t>
  </si>
  <si>
    <t>Hiring Manager - Onboarding</t>
  </si>
  <si>
    <t>6</t>
  </si>
  <si>
    <t>Mandatory training survey</t>
  </si>
  <si>
    <t>Viva Glint</t>
  </si>
  <si>
    <t>Transactional</t>
  </si>
  <si>
    <t>7</t>
  </si>
  <si>
    <t>Learning satisfaction survey</t>
  </si>
  <si>
    <t>Qualtrics / Viva Glint??</t>
  </si>
  <si>
    <t>8</t>
  </si>
  <si>
    <t>HR experience - H1 2026</t>
  </si>
  <si>
    <t>9</t>
  </si>
  <si>
    <t>HR experience - H2 2026</t>
  </si>
  <si>
    <t>Microsoft Forms</t>
  </si>
  <si>
    <t>Group Exit survey (Leaving the Bank)</t>
  </si>
  <si>
    <t>Strategic</t>
  </si>
  <si>
    <t>CIB exit interviews for female colleagues</t>
  </si>
  <si>
    <t>Barometer - Global</t>
  </si>
  <si>
    <t>BUK Barometer</t>
  </si>
  <si>
    <t>360 survey</t>
  </si>
  <si>
    <t>TBD</t>
  </si>
  <si>
    <t>Tactical</t>
  </si>
  <si>
    <t>HR case experience</t>
  </si>
  <si>
    <t>Viva Pulse??</t>
  </si>
  <si>
    <t>Team Satisfaction feedback (Speak up)</t>
  </si>
  <si>
    <t>Organisational effectiveness</t>
  </si>
  <si>
    <t>Weekly</t>
  </si>
  <si>
    <t>Workplace adjustment colleague satisfaction</t>
  </si>
  <si>
    <t>Viva Pulse</t>
  </si>
  <si>
    <t>Career transition services survey (Redeployment)</t>
  </si>
  <si>
    <t>Adhoc</t>
  </si>
  <si>
    <t>Colleague Listening assessment tool (Control for MS Forms platform)</t>
  </si>
  <si>
    <t>Post online Assessment (SHL) Survey</t>
  </si>
  <si>
    <t>Monthly Corporate Comms Pulse</t>
  </si>
  <si>
    <t>Monthly</t>
  </si>
  <si>
    <t>Pulse</t>
  </si>
  <si>
    <t>Candidate Experience</t>
  </si>
  <si>
    <t>Alumni</t>
  </si>
  <si>
    <t>MMR App</t>
  </si>
  <si>
    <t>TOTAL Active (✓) Count</t>
  </si>
  <si>
    <t>Survey Tool TBD (??) Count</t>
  </si>
  <si>
    <t>Survey End-to-End Flow – All Products</t>
  </si>
  <si>
    <t>◀  DATA IN  ▶</t>
  </si>
  <si>
    <t>◀  SURVEY EXECUTION  ▶</t>
  </si>
  <si>
    <t>◀  PROCESSING  ▶</t>
  </si>
  <si>
    <t>◀ GOVERN ▶</t>
  </si>
  <si>
    <t>◀  INSIGHTS  ▶</t>
  </si>
  <si>
    <t>◀ OUTPUT ▶</t>
  </si>
  <si>
    <t>Data Source</t>
  </si>
  <si>
    <t>Survey Tool</t>
  </si>
  <si>
    <t>Processing &amp; Transform</t>
  </si>
  <si>
    <t>Storage (OneLake / HRDP)</t>
  </si>
  <si>
    <t>Governance &amp; Quality</t>
  </si>
  <si>
    <t>Analytics / Power BI</t>
  </si>
  <si>
    <t>Copilot / AI Insights</t>
  </si>
  <si>
    <t>Output / Reporting Tool</t>
  </si>
  <si>
    <t>Manual/CSV</t>
  </si>
  <si>
    <t>ETL → Microsoft Fabric</t>
  </si>
  <si>
    <t>OneLake / HRDP (Planned)</t>
  </si>
  <si>
    <t>Anonymisation + Purview</t>
  </si>
  <si>
    <t>P – Power BI</t>
  </si>
  <si>
    <t>Copilot Insights</t>
  </si>
  <si>
    <t>Power BI (default)</t>
  </si>
  <si>
    <t>Manual/CSV + HRDP</t>
  </si>
  <si>
    <t>Power BI Reports</t>
  </si>
  <si>
    <t>Planned</t>
  </si>
  <si>
    <t>Workday + ServiceNow + HRDP</t>
  </si>
  <si>
    <t>Workday + HRDP</t>
  </si>
  <si>
    <t>Data Governance &amp; Compliance Register</t>
  </si>
  <si>
    <t>Yellow = action required   |   ✓ = Confirmed (green)   |   P = In Progress (orange)</t>
  </si>
  <si>
    <t>Data Owner</t>
  </si>
  <si>
    <t>Data Sensitivity</t>
  </si>
  <si>
    <t>Retention
Period</t>
  </si>
  <si>
    <t>Anonymisation
Level</t>
  </si>
  <si>
    <t>Purview
Classified</t>
  </si>
  <si>
    <t>GDPR /
Legal Review</t>
  </si>
  <si>
    <t>HRDP Migration
Status</t>
  </si>
  <si>
    <t>Notes / Actions Required</t>
  </si>
  <si>
    <t>HR Analytics</t>
  </si>
  <si>
    <t>Confidential</t>
  </si>
  <si>
    <t>1 Year</t>
  </si>
  <si>
    <t>Aggregated ≥5</t>
  </si>
  <si>
    <t>Not started</t>
  </si>
  <si>
    <t>Pilot – confirm data handling</t>
  </si>
  <si>
    <t>2 Years</t>
  </si>
  <si>
    <t>Planned Q3</t>
  </si>
  <si>
    <t>To be assigned</t>
  </si>
  <si>
    <t>To be defined</t>
  </si>
  <si>
    <t>Assign owner and review</t>
  </si>
  <si>
    <t>HR Ops</t>
  </si>
  <si>
    <t>Highly Sensitive</t>
  </si>
  <si>
    <t>In Progress</t>
  </si>
  <si>
    <t>Check legal hold</t>
  </si>
  <si>
    <t>3 Years</t>
  </si>
  <si>
    <t>5 Years</t>
  </si>
  <si>
    <t>Individual Record</t>
  </si>
  <si>
    <t>ServiceNow integration check</t>
  </si>
  <si>
    <t>Planned Q4</t>
  </si>
  <si>
    <t>Qlik Sense output – confirm data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</si>
</sst>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375623"/>
      <name val="Arial"/>
      <charset val="1"/>
    </font>
    <font>
      <b/>
      <sz val="10"/>
      <color rgb="FF9C6500"/>
      <name val="Arial"/>
      <charset val="1"/>
    </font>
    <font>
      <b/>
      <sz val="10"/>
      <color rgb="FF000000"/>
      <name val="Arial"/>
      <charset val="1"/>
    </font>
    <font>
      <b/>
      <sz val="10"/>
      <color rgb="FF2E75B6"/>
      <name val="Arial"/>
      <charset val="1"/>
    </font>
    <font>
      <b/>
      <sz val="16"/>
      <color rgb="FFFFFFFF"/>
      <name val="Arial"/>
      <charset val="1"/>
    </font>
    <font>
      <b/>
      <sz val="9"/>
      <name val="Arial"/>
      <charset val="1"/>
    </font>
    <font>
      <sz val="9"/>
      <color rgb="FFAAAAAA"/>
      <name val="Arial"/>
      <charset val="1"/>
    </font>
    <font>
      <sz val="9"/>
      <color rgb="FF375623"/>
      <name val="Arial"/>
      <charset val="1"/>
    </font>
    <font>
      <b/>
      <sz val="9"/>
      <color rgb="FF375623"/>
      <name val="Arial"/>
      <charset val="1"/>
    </font>
    <font>
      <sz val="9"/>
      <color rgb="FF000000"/>
      <name val="Arial"/>
      <charset val="1"/>
    </font>
    <font>
      <sz val="9"/>
      <color rgb="FFC55A11"/>
      <name val="Arial"/>
      <charset val="1"/>
    </font>
    <font>
      <b/>
      <sz val="9"/>
      <color rgb="FF9C6500"/>
      <name val="Arial"/>
      <charset val="1"/>
    </font>
    <font>
      <sz val="9"/>
      <color rgb="FF006064"/>
      <name val="Arial"/>
      <charset val="1"/>
    </font>
    <font>
      <b/>
      <sz val="8"/>
      <color rgb="FFFFFFFF"/>
      <name val="Arial"/>
      <charset val="1"/>
    </font>
    <font>
      <sz val="9"/>
      <color rgb="FF666666"/>
      <name val="Arial"/>
      <charset val="1"/>
    </font>
    <font>
      <b/>
      <sz val="9"/>
      <color rgb="FF000000"/>
      <name val="Arial"/>
      <charset val="1"/>
    </font>
    <font>
      <b/>
      <sz val="14"/>
      <color rgb="FFFFFFFF"/>
      <name val="Arial Black"/>
    </font>
    <font>
      <sz val="9"/>
      <color rgb="FFAAAAAA"/>
      <name val="Arial"/>
    </font>
    <font>
      <b/>
      <sz val="11"/>
      <color rgb="FFFFFFFF"/>
      <name val="Arial Black"/>
    </font>
    <font>
      <b/>
      <sz val="11"/>
      <color rgb="FF0D0D1A"/>
      <name val="Arial Black"/>
    </font>
    <font>
      <sz val="9"/>
      <color rgb="FF444444"/>
      <name val="Calibri"/>
    </font>
    <font>
      <sz val="9"/>
      <color rgb="FF0D0D1A"/>
      <name val="Calibri"/>
    </font>
    <font>
      <sz val="9"/>
      <color rgb="FF333333"/>
      <name val="Calibri"/>
    </font>
    <font>
      <b/>
      <sz val="9"/>
      <color rgb="FF7A5000"/>
      <name val="Calibri"/>
    </font>
    <font>
      <sz val="14"/>
      <color rgb="FFDDDBD3"/>
      <name val="Arial"/>
    </font>
    <font>
      <b/>
      <sz val="9"/>
      <color rgb="FF0C447C"/>
      <name val="Calibri"/>
    </font>
    <font>
      <b/>
      <sz val="9"/>
      <color rgb="FF1A6B32"/>
      <name val="Calibri"/>
    </font>
    <font>
      <b/>
      <sz val="9"/>
      <color rgb="FF3B2F8A"/>
      <name val="Calibri"/>
    </font>
    <font>
      <b/>
      <sz val="10"/>
      <color rgb="FFFFFFFF"/>
      <name val="Arial Black"/>
    </font>
    <font>
      <sz val="9"/>
      <color rgb="FF3B2F8A"/>
      <name val="Calibri"/>
    </font>
    <font>
      <b/>
      <sz val="9"/>
      <color rgb="FFFFFFFF"/>
      <name val="Arial Black"/>
    </font>
    <font>
      <i/>
      <sz val="8"/>
      <color rgb="FFEAE6FA"/>
      <name val="Calibri"/>
    </font>
    <font>
      <sz val="8"/>
      <color rgb="FF1A6B32"/>
      <name val="Calibri"/>
    </font>
    <font>
      <sz val="8"/>
      <color rgb="FF0C447C"/>
      <name val="Calibri"/>
    </font>
    <font>
      <sz val="8"/>
      <color rgb="FF7A5000"/>
      <name val="Calibri"/>
    </font>
    <font>
      <sz val="8"/>
      <color rgb="FF3B2F8A"/>
      <name val="Calibri"/>
    </font>
    <font>
      <i/>
      <sz val="8"/>
      <color rgb="FF6B6866"/>
      <name val="Calibri"/>
    </font>
    <font>
      <b/>
      <sz val="12"/>
      <color rgb="FFFFFFFF"/>
      <name val="Arial Black"/>
    </font>
    <font>
      <b/>
      <sz val="8.5"/>
      <color rgb="FF1A6B32"/>
      <name val="Calibri"/>
    </font>
    <font>
      <b/>
      <sz val="8.5"/>
      <color rgb="FF3B2F8A"/>
      <name val="Calibri"/>
    </font>
    <font>
      <b/>
      <sz val="8.5"/>
      <color rgb="FF7A5000"/>
      <name val="Calibri"/>
    </font>
    <font>
      <sz val="10"/>
      <color rgb="FF555555"/>
      <name val="Calibri"/>
    </font>
    <font>
      <sz val="8.5"/>
      <color rgb="FF888888"/>
      <name val="Calibri"/>
    </font>
    <font>
      <b/>
      <sz val="10"/>
      <color rgb="FF111111"/>
      <name val="Calibri"/>
    </font>
    <font>
      <sz val="9"/>
      <color rgb="FF1A6B32"/>
      <name val="Calibri"/>
    </font>
    <font>
      <sz val="9"/>
      <color rgb="FF7A5000"/>
      <name val="Calibri"/>
    </font>
    <font>
      <i/>
      <sz val="8"/>
      <color rgb="FF999999"/>
      <name val="Calibri"/>
    </font>
    <font>
      <sz val="11"/>
      <color rgb="FF777788"/>
      <name val="Calibri"/>
    </font>
  </fonts>
  <fills count="3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375623"/>
      </patternFill>
    </fill>
    <fill>
      <patternFill patternType="solid">
        <fgColor rgb="FF548235"/>
        <bgColor rgb="FF666666"/>
      </patternFill>
    </fill>
    <fill>
      <patternFill patternType="solid">
        <fgColor rgb="FFC55A11"/>
        <bgColor rgb="FF9C65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C6EFCE"/>
        <bgColor rgb="FFDEEAF1"/>
      </patternFill>
    </fill>
    <fill>
      <patternFill patternType="solid">
        <fgColor rgb="FFFFEB9C"/>
        <bgColor rgb="FFFCE4D6"/>
      </patternFill>
    </fill>
    <fill>
      <patternFill patternType="solid">
        <fgColor rgb="FFE0F7FA"/>
        <bgColor rgb="FFDEEAF1"/>
      </patternFill>
    </fill>
    <fill>
      <patternFill patternType="solid">
        <fgColor rgb="FF006064"/>
        <bgColor rgb="FF008080"/>
      </patternFill>
    </fill>
    <fill>
      <patternFill patternType="solid">
        <fgColor rgb="FFBDD7EE"/>
        <bgColor rgb="FFC6EFCE"/>
      </patternFill>
    </fill>
    <fill>
      <patternFill patternType="solid">
        <fgColor rgb="FFDEEAF1"/>
        <bgColor rgb="FFE0F7FA"/>
      </patternFill>
    </fill>
    <fill>
      <patternFill patternType="solid">
        <fgColor rgb="FFF2F2F2"/>
        <bgColor rgb="FFE0F7FA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DCDC"/>
      </patternFill>
    </fill>
    <fill>
      <patternFill patternType="solid">
        <fgColor rgb="FFEAD1FC"/>
        <bgColor rgb="FFFFDCDC"/>
      </patternFill>
    </fill>
    <fill>
      <patternFill patternType="solid">
        <fgColor rgb="FFFFDCDC"/>
        <bgColor rgb="FFFCE4D6"/>
      </patternFill>
    </fill>
    <fill>
      <patternFill patternType="solid">
        <fgColor rgb="FF0D0D1A"/>
      </patternFill>
    </fill>
    <fill>
      <patternFill patternType="solid">
        <fgColor rgb="FFE63946"/>
      </patternFill>
    </fill>
    <fill>
      <patternFill patternType="solid">
        <fgColor rgb="FFFFFFFF"/>
      </patternFill>
    </fill>
    <fill>
      <patternFill patternType="solid">
        <fgColor rgb="FFE8E6E0"/>
      </patternFill>
    </fill>
    <fill>
      <patternFill patternType="solid">
        <fgColor rgb="FFFFF0CC"/>
      </patternFill>
    </fill>
    <fill>
      <patternFill patternType="solid">
        <fgColor rgb="FFF5F4F0"/>
      </patternFill>
    </fill>
    <fill>
      <patternFill patternType="solid">
        <fgColor rgb="FF1A4A6E"/>
      </patternFill>
    </fill>
    <fill>
      <patternFill patternType="solid">
        <fgColor rgb="FFD0E8FB"/>
      </patternFill>
    </fill>
    <fill>
      <patternFill patternType="solid">
        <fgColor rgb="FF145A4A"/>
      </patternFill>
    </fill>
    <fill>
      <patternFill patternType="solid">
        <fgColor rgb="FF5A1A2A"/>
      </patternFill>
    </fill>
    <fill>
      <patternFill patternType="solid">
        <fgColor rgb="FFD1EAD8"/>
      </patternFill>
    </fill>
    <fill>
      <patternFill patternType="solid">
        <fgColor rgb="FF3A1A5A"/>
      </patternFill>
    </fill>
    <fill>
      <patternFill patternType="solid">
        <fgColor rgb="FFEAE6FA"/>
      </patternFill>
    </fill>
    <fill>
      <patternFill patternType="solid">
        <fgColor rgb="FF3B2F8A"/>
      </patternFill>
    </fill>
    <fill>
      <patternFill patternType="solid">
        <fgColor rgb="FFF0EEE8"/>
      </patternFill>
    </fill>
    <fill>
      <patternFill patternType="solid">
        <fgColor rgb="FF1A1A2E"/>
      </patternFill>
    </fill>
    <fill>
      <patternFill patternType="solid">
        <fgColor rgb="FFD4EDDA"/>
      </patternFill>
    </fill>
    <fill>
      <patternFill patternType="solid">
        <fgColor rgb="FFE8E4F8"/>
      </patternFill>
    </fill>
    <fill>
      <patternFill patternType="solid">
        <fgColor rgb="FFFFF3CD"/>
      </patternFill>
    </fill>
  </fills>
  <borders count="1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DDBD3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5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8" fillId="10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9" fillId="11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 indent="1"/>
    </xf>
    <xf numFmtId="0" fontId="13" fillId="15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left" vertical="center" wrapText="1" indent="1"/>
    </xf>
    <xf numFmtId="0" fontId="16" fillId="15" borderId="3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6" fillId="16" borderId="3" xfId="0" applyFont="1" applyFill="1" applyBorder="1" applyAlignment="1">
      <alignment horizontal="left" vertical="center" wrapText="1" indent="1"/>
    </xf>
    <xf numFmtId="0" fontId="17" fillId="17" borderId="3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left" vertical="center" wrapText="1" indent="1"/>
    </xf>
    <xf numFmtId="0" fontId="19" fillId="11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 indent="1"/>
    </xf>
    <xf numFmtId="0" fontId="13" fillId="16" borderId="3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 wrapText="1"/>
    </xf>
    <xf numFmtId="0" fontId="20" fillId="12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6" fillId="17" borderId="3" xfId="0" applyFont="1" applyFill="1" applyBorder="1" applyAlignment="1">
      <alignment horizontal="left" vertical="center" wrapText="1" indent="1"/>
    </xf>
    <xf numFmtId="0" fontId="16" fillId="18" borderId="3" xfId="0" applyFont="1" applyFill="1" applyBorder="1" applyAlignment="1">
      <alignment horizontal="left" vertical="center" wrapText="1" indent="1"/>
    </xf>
    <xf numFmtId="0" fontId="16" fillId="19" borderId="3" xfId="0" applyFont="1" applyFill="1" applyBorder="1" applyAlignment="1">
      <alignment horizontal="left" vertical="center" wrapText="1" indent="1"/>
    </xf>
    <xf numFmtId="0" fontId="21" fillId="15" borderId="3" xfId="0" applyFont="1" applyFill="1" applyBorder="1" applyAlignment="1">
      <alignment horizontal="left" vertical="center" wrapText="1" indent="1"/>
    </xf>
    <xf numFmtId="0" fontId="21" fillId="16" borderId="3" xfId="0" applyFont="1" applyFill="1" applyBorder="1" applyAlignment="1">
      <alignment horizontal="left" vertical="center" wrapText="1" indent="1"/>
    </xf>
    <xf numFmtId="0" fontId="19" fillId="11" borderId="3" xfId="0" applyFont="1" applyFill="1" applyBorder="1" applyAlignment="1">
      <alignment horizontal="left" vertical="center" wrapText="1" indent="1"/>
    </xf>
    <xf numFmtId="0" fontId="22" fillId="13" borderId="3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left" vertical="center" wrapText="1" indent="1"/>
    </xf>
    <xf numFmtId="0" fontId="17" fillId="17" borderId="3" xfId="0" applyFont="1" applyFill="1" applyBorder="1" applyAlignment="1">
      <alignment horizontal="left" vertical="center" wrapText="1" indent="1"/>
    </xf>
    <xf numFmtId="0" fontId="14" fillId="9" borderId="3" xfId="0" applyFont="1" applyFill="1" applyBorder="1" applyAlignment="1">
      <alignment horizontal="left" vertical="center" wrapText="1" indent="1"/>
    </xf>
    <xf numFmtId="0" fontId="0" fillId="21" borderId="0" xfId="0" applyFill="1"/>
    <xf numFmtId="0" fontId="0" fillId="20" borderId="0" xfId="0" applyFill="1"/>
    <xf numFmtId="0" fontId="0" fillId="25" borderId="0" xfId="0" applyFill="1"/>
    <xf numFmtId="0" fontId="0" fillId="23" borderId="7" xfId="0" applyFill="1" applyBorder="1"/>
    <xf numFmtId="0" fontId="31" fillId="25" borderId="0" xfId="0" applyFont="1" applyFill="1" applyAlignment="1">
      <alignment horizontal="center" vertical="center"/>
    </xf>
    <xf numFmtId="0" fontId="0" fillId="34" borderId="0" xfId="0" applyFill="1"/>
    <xf numFmtId="0" fontId="0" fillId="35" borderId="0" xfId="0" applyFill="1"/>
    <xf numFmtId="0" fontId="48" fillId="35" borderId="0" xfId="0" applyFont="1" applyFill="1" applyAlignment="1">
      <alignment horizontal="center" vertical="center"/>
    </xf>
    <xf numFmtId="0" fontId="0" fillId="22" borderId="9" xfId="0" applyFill="1" applyBorder="1"/>
    <xf numFmtId="0" fontId="54" fillId="35" borderId="0" xfId="0" applyFont="1" applyFill="1" applyAlignment="1">
      <alignment horizontal="center" vertical="center"/>
    </xf>
    <xf numFmtId="0" fontId="33" fillId="35" borderId="0" xfId="0" applyFont="1" applyFill="1" applyAlignment="1">
      <alignment horizontal="center" vertical="center"/>
    </xf>
    <xf numFmtId="0" fontId="34" fillId="35" borderId="0" xfId="0" applyFont="1" applyFill="1" applyAlignment="1">
      <alignment horizontal="center" vertical="center"/>
    </xf>
    <xf numFmtId="0" fontId="30" fillId="35" borderId="0" xfId="0" applyFont="1" applyFill="1" applyAlignment="1">
      <alignment horizontal="center" vertical="center"/>
    </xf>
    <xf numFmtId="0" fontId="32" fillId="27" borderId="0" xfId="0" applyFont="1" applyFill="1" applyAlignment="1">
      <alignment horizontal="center" vertical="center"/>
    </xf>
    <xf numFmtId="0" fontId="0" fillId="0" borderId="0" xfId="0"/>
    <xf numFmtId="0" fontId="29" fillId="22" borderId="0" xfId="0" applyFont="1" applyFill="1" applyAlignment="1">
      <alignment horizontal="left" vertical="center" wrapText="1" indent="1"/>
    </xf>
    <xf numFmtId="0" fontId="27" fillId="22" borderId="0" xfId="0" applyFont="1" applyFill="1" applyAlignment="1">
      <alignment horizontal="left" vertical="center" wrapText="1" indent="1"/>
    </xf>
    <xf numFmtId="0" fontId="26" fillId="22" borderId="0" xfId="0" applyFont="1" applyFill="1" applyAlignment="1">
      <alignment horizontal="left" vertical="center" wrapText="1"/>
    </xf>
    <xf numFmtId="0" fontId="42" fillId="25" borderId="0" xfId="0" applyFont="1" applyFill="1" applyAlignment="1">
      <alignment horizontal="left" vertical="center" indent="1"/>
    </xf>
    <xf numFmtId="0" fontId="25" fillId="28" borderId="0" xfId="0" applyFont="1" applyFill="1" applyAlignment="1">
      <alignment horizontal="center" vertical="center"/>
    </xf>
    <xf numFmtId="0" fontId="37" fillId="20" borderId="0" xfId="0" applyFont="1" applyFill="1" applyAlignment="1">
      <alignment horizontal="left" vertical="center"/>
    </xf>
    <xf numFmtId="0" fontId="43" fillId="25" borderId="0" xfId="0" applyFont="1" applyFill="1" applyAlignment="1">
      <alignment horizontal="right" vertical="center"/>
    </xf>
    <xf numFmtId="0" fontId="35" fillId="33" borderId="0" xfId="0" applyFont="1" applyFill="1" applyAlignment="1">
      <alignment horizontal="center" vertical="center"/>
    </xf>
    <xf numFmtId="0" fontId="34" fillId="32" borderId="0" xfId="0" applyFont="1" applyFill="1" applyAlignment="1">
      <alignment horizontal="center" vertical="center"/>
    </xf>
    <xf numFmtId="0" fontId="38" fillId="20" borderId="0" xfId="0" applyFont="1" applyFill="1" applyAlignment="1">
      <alignment horizontal="left" vertical="center" indent="1"/>
    </xf>
    <xf numFmtId="0" fontId="30" fillId="24" borderId="0" xfId="0" applyFont="1" applyFill="1" applyAlignment="1">
      <alignment horizontal="center" vertical="center" wrapText="1"/>
    </xf>
    <xf numFmtId="0" fontId="28" fillId="22" borderId="0" xfId="0" applyFont="1" applyFill="1" applyAlignment="1">
      <alignment horizontal="left" vertical="center" wrapText="1" indent="1"/>
    </xf>
    <xf numFmtId="0" fontId="41" fillId="25" borderId="0" xfId="0" applyFont="1" applyFill="1" applyAlignment="1">
      <alignment horizontal="left" vertical="center" indent="1"/>
    </xf>
    <xf numFmtId="0" fontId="23" fillId="20" borderId="0" xfId="0" applyFont="1" applyFill="1" applyAlignment="1">
      <alignment horizontal="left" vertical="center" wrapText="1"/>
    </xf>
    <xf numFmtId="0" fontId="24" fillId="20" borderId="0" xfId="0" applyFont="1" applyFill="1" applyAlignment="1">
      <alignment horizontal="right" vertical="center" wrapText="1"/>
    </xf>
    <xf numFmtId="0" fontId="30" fillId="24" borderId="0" xfId="0" applyFont="1" applyFill="1" applyAlignment="1">
      <alignment horizontal="center" vertical="center"/>
    </xf>
    <xf numFmtId="0" fontId="40" fillId="25" borderId="0" xfId="0" applyFont="1" applyFill="1" applyAlignment="1">
      <alignment horizontal="left" vertical="center" indent="1"/>
    </xf>
    <xf numFmtId="0" fontId="25" fillId="20" borderId="0" xfId="0" applyFont="1" applyFill="1" applyAlignment="1">
      <alignment horizontal="center" vertical="center"/>
    </xf>
    <xf numFmtId="0" fontId="25" fillId="26" borderId="0" xfId="0" applyFont="1" applyFill="1" applyAlignment="1">
      <alignment horizontal="center" vertical="center"/>
    </xf>
    <xf numFmtId="0" fontId="25" fillId="29" borderId="0" xfId="0" applyFont="1" applyFill="1" applyAlignment="1">
      <alignment horizontal="center" vertical="center"/>
    </xf>
    <xf numFmtId="0" fontId="32" fillId="27" borderId="0" xfId="0" applyFont="1" applyFill="1" applyAlignment="1">
      <alignment horizontal="center" vertical="center" wrapText="1"/>
    </xf>
    <xf numFmtId="0" fontId="33" fillId="30" borderId="0" xfId="0" applyFont="1" applyFill="1" applyAlignment="1">
      <alignment horizontal="center" vertical="center" wrapText="1"/>
    </xf>
    <xf numFmtId="0" fontId="36" fillId="32" borderId="0" xfId="0" applyFont="1" applyFill="1" applyAlignment="1">
      <alignment horizontal="left" vertical="center" indent="1"/>
    </xf>
    <xf numFmtId="0" fontId="39" fillId="25" borderId="0" xfId="0" applyFont="1" applyFill="1" applyAlignment="1">
      <alignment horizontal="left" vertical="center" indent="1"/>
    </xf>
    <xf numFmtId="0" fontId="25" fillId="31" borderId="0" xfId="0" applyFont="1" applyFill="1" applyAlignment="1">
      <alignment horizontal="center" vertical="center"/>
    </xf>
    <xf numFmtId="0" fontId="33" fillId="30" borderId="0" xfId="0" applyFont="1" applyFill="1" applyAlignment="1">
      <alignment horizontal="center" vertical="center"/>
    </xf>
    <xf numFmtId="0" fontId="34" fillId="32" borderId="0" xfId="0" applyFont="1" applyFill="1" applyAlignment="1">
      <alignment horizontal="center" vertical="center" wrapText="1"/>
    </xf>
    <xf numFmtId="0" fontId="50" fillId="22" borderId="16" xfId="0" applyFont="1" applyFill="1" applyBorder="1" applyAlignment="1">
      <alignment horizontal="left" vertical="top" wrapText="1" indent="1"/>
    </xf>
    <xf numFmtId="0" fontId="0" fillId="0" borderId="10" xfId="0" applyBorder="1"/>
    <xf numFmtId="0" fontId="52" fillId="34" borderId="0" xfId="0" applyFont="1" applyFill="1" applyAlignment="1">
      <alignment horizontal="left" vertical="center" indent="1"/>
    </xf>
    <xf numFmtId="0" fontId="45" fillId="36" borderId="8" xfId="0" applyFont="1" applyFill="1" applyBorder="1" applyAlignment="1">
      <alignment horizontal="center" vertical="center"/>
    </xf>
    <xf numFmtId="0" fontId="46" fillId="37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49" fillId="22" borderId="17" xfId="0" applyFont="1" applyFill="1" applyBorder="1" applyAlignment="1">
      <alignment horizontal="left" vertical="center" indent="1"/>
    </xf>
    <xf numFmtId="0" fontId="0" fillId="0" borderId="14" xfId="0" applyBorder="1"/>
    <xf numFmtId="0" fontId="0" fillId="0" borderId="15" xfId="0" applyBorder="1"/>
    <xf numFmtId="0" fontId="47" fillId="38" borderId="11" xfId="0" applyFont="1" applyFill="1" applyBorder="1" applyAlignment="1">
      <alignment horizontal="center" vertical="center"/>
    </xf>
    <xf numFmtId="0" fontId="46" fillId="37" borderId="8" xfId="0" applyFont="1" applyFill="1" applyBorder="1" applyAlignment="1">
      <alignment horizontal="center" vertical="center"/>
    </xf>
    <xf numFmtId="0" fontId="36" fillId="34" borderId="0" xfId="0" applyFont="1" applyFill="1" applyAlignment="1">
      <alignment horizontal="left" vertical="center" indent="1"/>
    </xf>
    <xf numFmtId="0" fontId="53" fillId="34" borderId="0" xfId="0" applyFont="1" applyFill="1" applyAlignment="1">
      <alignment horizontal="right" vertical="center"/>
    </xf>
    <xf numFmtId="0" fontId="45" fillId="36" borderId="11" xfId="0" applyFont="1" applyFill="1" applyBorder="1" applyAlignment="1">
      <alignment horizontal="center" vertical="center"/>
    </xf>
    <xf numFmtId="0" fontId="47" fillId="38" borderId="8" xfId="0" applyFont="1" applyFill="1" applyBorder="1" applyAlignment="1">
      <alignment horizontal="center" vertical="center"/>
    </xf>
    <xf numFmtId="0" fontId="51" fillId="34" borderId="0" xfId="0" applyFont="1" applyFill="1" applyAlignment="1">
      <alignment horizontal="left" vertical="center" indent="1"/>
    </xf>
    <xf numFmtId="0" fontId="44" fillId="35" borderId="0" xfId="0" applyFont="1" applyFill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6" xfId="0" applyBorder="1"/>
    <xf numFmtId="0" fontId="3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" fillId="8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49" fillId="22" borderId="17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6064"/>
      <rgbColor rgb="FFBFBFBF"/>
      <rgbColor rgb="FF808080"/>
      <rgbColor rgb="FF9999FF"/>
      <rgbColor rgb="FF7030A0"/>
      <rgbColor rgb="FFF2F2F2"/>
      <rgbColor rgb="FFE0F7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B9C"/>
      <rgbColor rgb="FFEAD1FC"/>
      <rgbColor rgb="FFFCE4D6"/>
      <rgbColor rgb="FFCC99FF"/>
      <rgbColor rgb="FFFFDCDC"/>
      <rgbColor rgb="FF2E75B6"/>
      <rgbColor rgb="FF33CCCC"/>
      <rgbColor rgb="FF99CC00"/>
      <rgbColor rgb="FFFFCC00"/>
      <rgbColor rgb="FFFF9900"/>
      <rgbColor rgb="FFC55A11"/>
      <rgbColor rgb="FF666666"/>
      <rgbColor rgb="FFAAAAAA"/>
      <rgbColor rgb="FF1F3864"/>
      <rgbColor rgb="FF548235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3946"/>
    <pageSetUpPr fitToPage="1"/>
  </sheetPr>
  <dimension ref="A1:U23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N8" sqref="N8:P8"/>
    </sheetView>
  </sheetViews>
  <sheetFormatPr defaultRowHeight="14.4" x14ac:dyDescent="0.3"/>
  <cols>
    <col min="1" max="1" width="2" customWidth="1"/>
    <col min="2" max="4" width="8" customWidth="1"/>
    <col min="5" max="5" width="3" customWidth="1"/>
    <col min="6" max="8" width="8" customWidth="1"/>
    <col min="9" max="9" width="3" customWidth="1"/>
    <col min="10" max="12" width="8" customWidth="1"/>
    <col min="13" max="13" width="3" customWidth="1"/>
    <col min="14" max="16" width="8" customWidth="1"/>
    <col min="17" max="17" width="3" customWidth="1"/>
    <col min="18" max="20" width="8" customWidth="1"/>
    <col min="21" max="21" width="2" customWidth="1"/>
  </cols>
  <sheetData>
    <row r="1" spans="1:21" ht="7.95" customHeight="1" x14ac:dyDescent="0.3"/>
    <row r="2" spans="1:21" ht="36" customHeight="1" x14ac:dyDescent="0.3">
      <c r="A2" s="47"/>
      <c r="B2" s="75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76" t="s">
        <v>1</v>
      </c>
      <c r="Q2" s="61"/>
      <c r="R2" s="61"/>
      <c r="S2" s="61"/>
      <c r="T2" s="61"/>
      <c r="U2" s="48"/>
    </row>
    <row r="3" spans="1:21" ht="7.95" customHeight="1" x14ac:dyDescent="0.3"/>
    <row r="4" spans="1:21" ht="28.05" customHeight="1" x14ac:dyDescent="0.3">
      <c r="B4" s="79" t="s">
        <v>2</v>
      </c>
      <c r="C4" s="61"/>
      <c r="D4" s="61"/>
      <c r="E4" s="49"/>
      <c r="F4" s="80" t="s">
        <v>3</v>
      </c>
      <c r="G4" s="61"/>
      <c r="H4" s="61"/>
      <c r="I4" s="49"/>
      <c r="J4" s="66" t="s">
        <v>4</v>
      </c>
      <c r="K4" s="61"/>
      <c r="L4" s="61"/>
      <c r="M4" s="49"/>
      <c r="N4" s="81" t="s">
        <v>5</v>
      </c>
      <c r="O4" s="61"/>
      <c r="P4" s="61"/>
      <c r="Q4" s="49"/>
      <c r="R4" s="86" t="s">
        <v>6</v>
      </c>
      <c r="S4" s="61"/>
      <c r="T4" s="61"/>
    </row>
    <row r="5" spans="1:21" ht="25.95" customHeight="1" x14ac:dyDescent="0.3">
      <c r="B5" s="64" t="s">
        <v>7</v>
      </c>
      <c r="C5" s="61"/>
      <c r="D5" s="61"/>
      <c r="E5" s="49"/>
      <c r="F5" s="64" t="s">
        <v>8</v>
      </c>
      <c r="G5" s="61"/>
      <c r="H5" s="61"/>
      <c r="I5" s="49"/>
      <c r="J5" s="64" t="s">
        <v>9</v>
      </c>
      <c r="K5" s="61"/>
      <c r="L5" s="61"/>
      <c r="M5" s="49"/>
      <c r="N5" s="64" t="s">
        <v>10</v>
      </c>
      <c r="O5" s="61"/>
      <c r="P5" s="61"/>
      <c r="Q5" s="49"/>
      <c r="R5" s="64" t="s">
        <v>11</v>
      </c>
      <c r="S5" s="61"/>
      <c r="T5" s="61"/>
    </row>
    <row r="6" spans="1:21" ht="7.95" customHeight="1" x14ac:dyDescent="0.3">
      <c r="B6" s="50"/>
      <c r="C6" s="50"/>
      <c r="D6" s="50"/>
      <c r="E6" s="49"/>
      <c r="F6" s="50"/>
      <c r="G6" s="50"/>
      <c r="H6" s="50"/>
      <c r="I6" s="49"/>
      <c r="J6" s="50"/>
      <c r="K6" s="50"/>
      <c r="L6" s="50"/>
      <c r="M6" s="49"/>
      <c r="N6" s="50"/>
      <c r="O6" s="50"/>
      <c r="P6" s="50"/>
      <c r="Q6" s="49"/>
      <c r="R6" s="50"/>
      <c r="S6" s="50"/>
      <c r="T6" s="50"/>
    </row>
    <row r="7" spans="1:21" ht="19.95" customHeight="1" x14ac:dyDescent="0.3">
      <c r="B7" s="63" t="s">
        <v>12</v>
      </c>
      <c r="C7" s="61"/>
      <c r="D7" s="61"/>
      <c r="E7" s="49"/>
      <c r="F7" s="63" t="s">
        <v>13</v>
      </c>
      <c r="G7" s="61"/>
      <c r="H7" s="61"/>
      <c r="I7" s="49"/>
      <c r="J7" s="63" t="s">
        <v>14</v>
      </c>
      <c r="K7" s="61"/>
      <c r="L7" s="61"/>
      <c r="M7" s="49"/>
      <c r="N7" s="63" t="s">
        <v>15</v>
      </c>
      <c r="O7" s="61"/>
      <c r="P7" s="61"/>
      <c r="Q7" s="49"/>
      <c r="R7" s="63" t="s">
        <v>16</v>
      </c>
      <c r="S7" s="61"/>
      <c r="T7" s="61"/>
    </row>
    <row r="8" spans="1:21" ht="19.95" customHeight="1" x14ac:dyDescent="0.3">
      <c r="B8" s="62" t="s">
        <v>17</v>
      </c>
      <c r="C8" s="61"/>
      <c r="D8" s="61"/>
      <c r="E8" s="49"/>
      <c r="F8" s="62" t="s">
        <v>18</v>
      </c>
      <c r="G8" s="61"/>
      <c r="H8" s="61"/>
      <c r="I8" s="49"/>
      <c r="J8" s="62" t="s">
        <v>19</v>
      </c>
      <c r="K8" s="61"/>
      <c r="L8" s="61"/>
      <c r="M8" s="49"/>
      <c r="N8" s="62" t="s">
        <v>20</v>
      </c>
      <c r="O8" s="61"/>
      <c r="P8" s="61"/>
      <c r="Q8" s="49"/>
      <c r="R8" s="62" t="s">
        <v>21</v>
      </c>
      <c r="S8" s="61"/>
      <c r="T8" s="61"/>
    </row>
    <row r="9" spans="1:21" ht="19.95" customHeight="1" x14ac:dyDescent="0.3">
      <c r="B9" s="62" t="s">
        <v>22</v>
      </c>
      <c r="C9" s="61"/>
      <c r="D9" s="61"/>
      <c r="E9" s="49"/>
      <c r="F9" s="62" t="s">
        <v>23</v>
      </c>
      <c r="G9" s="61"/>
      <c r="H9" s="61"/>
      <c r="I9" s="49"/>
      <c r="J9" s="62" t="s">
        <v>24</v>
      </c>
      <c r="K9" s="61"/>
      <c r="L9" s="61"/>
      <c r="M9" s="49"/>
      <c r="N9" s="62" t="s">
        <v>25</v>
      </c>
      <c r="O9" s="61"/>
      <c r="P9" s="61"/>
      <c r="Q9" s="49"/>
      <c r="R9" s="62" t="s">
        <v>26</v>
      </c>
      <c r="S9" s="61"/>
      <c r="T9" s="61"/>
    </row>
    <row r="10" spans="1:21" ht="19.95" customHeight="1" x14ac:dyDescent="0.3">
      <c r="B10" s="62" t="s">
        <v>27</v>
      </c>
      <c r="C10" s="61"/>
      <c r="D10" s="61"/>
      <c r="E10" s="51" t="s">
        <v>28</v>
      </c>
      <c r="F10" s="62" t="s">
        <v>29</v>
      </c>
      <c r="G10" s="61"/>
      <c r="H10" s="61"/>
      <c r="I10" s="51" t="s">
        <v>28</v>
      </c>
      <c r="J10" s="62" t="s">
        <v>30</v>
      </c>
      <c r="K10" s="61"/>
      <c r="L10" s="61"/>
      <c r="M10" s="51" t="s">
        <v>28</v>
      </c>
      <c r="N10" s="62" t="s">
        <v>31</v>
      </c>
      <c r="O10" s="61"/>
      <c r="P10" s="61"/>
      <c r="Q10" s="51" t="s">
        <v>28</v>
      </c>
      <c r="R10" s="62" t="s">
        <v>32</v>
      </c>
      <c r="S10" s="61"/>
      <c r="T10" s="61"/>
    </row>
    <row r="11" spans="1:21" ht="19.95" customHeight="1" x14ac:dyDescent="0.3">
      <c r="B11" s="62" t="s">
        <v>33</v>
      </c>
      <c r="C11" s="61"/>
      <c r="D11" s="61"/>
      <c r="E11" s="49"/>
      <c r="F11" s="62" t="s">
        <v>34</v>
      </c>
      <c r="G11" s="61"/>
      <c r="H11" s="61"/>
      <c r="I11" s="49"/>
      <c r="J11" s="62" t="s">
        <v>35</v>
      </c>
      <c r="K11" s="61"/>
      <c r="L11" s="61"/>
      <c r="M11" s="49"/>
      <c r="N11" s="73"/>
      <c r="O11" s="61"/>
      <c r="P11" s="61"/>
      <c r="Q11" s="49"/>
      <c r="R11" s="62" t="s">
        <v>36</v>
      </c>
      <c r="S11" s="61"/>
      <c r="T11" s="61"/>
    </row>
    <row r="12" spans="1:21" ht="19.95" customHeight="1" x14ac:dyDescent="0.3">
      <c r="B12" s="73"/>
      <c r="C12" s="61"/>
      <c r="D12" s="61"/>
      <c r="E12" s="49"/>
      <c r="F12" s="62" t="s">
        <v>37</v>
      </c>
      <c r="G12" s="61"/>
      <c r="H12" s="61"/>
      <c r="I12" s="49"/>
      <c r="J12" s="73"/>
      <c r="K12" s="61"/>
      <c r="L12" s="61"/>
      <c r="M12" s="49"/>
      <c r="N12" s="63" t="s">
        <v>38</v>
      </c>
      <c r="O12" s="61"/>
      <c r="P12" s="61"/>
      <c r="Q12" s="49"/>
      <c r="R12" s="62" t="s">
        <v>39</v>
      </c>
      <c r="S12" s="61"/>
      <c r="T12" s="61"/>
    </row>
    <row r="13" spans="1:21" ht="19.95" customHeight="1" x14ac:dyDescent="0.3">
      <c r="B13" s="63" t="s">
        <v>40</v>
      </c>
      <c r="C13" s="61"/>
      <c r="D13" s="61"/>
      <c r="E13" s="49"/>
      <c r="F13" s="73"/>
      <c r="G13" s="61"/>
      <c r="H13" s="61"/>
      <c r="I13" s="49"/>
      <c r="J13" s="63" t="s">
        <v>41</v>
      </c>
      <c r="K13" s="61"/>
      <c r="L13" s="61"/>
      <c r="M13" s="49"/>
      <c r="N13" s="62" t="s">
        <v>42</v>
      </c>
      <c r="O13" s="61"/>
      <c r="P13" s="61"/>
      <c r="Q13" s="49"/>
      <c r="R13" s="73"/>
      <c r="S13" s="61"/>
      <c r="T13" s="61"/>
    </row>
    <row r="14" spans="1:21" ht="19.95" customHeight="1" x14ac:dyDescent="0.3">
      <c r="B14" s="63" t="s">
        <v>43</v>
      </c>
      <c r="C14" s="61"/>
      <c r="D14" s="61"/>
      <c r="E14" s="49"/>
      <c r="F14" s="63" t="s">
        <v>44</v>
      </c>
      <c r="G14" s="61"/>
      <c r="H14" s="61"/>
      <c r="I14" s="49"/>
      <c r="J14" s="63" t="s">
        <v>45</v>
      </c>
      <c r="K14" s="61"/>
      <c r="L14" s="61"/>
      <c r="M14" s="49"/>
      <c r="N14" s="62" t="s">
        <v>46</v>
      </c>
      <c r="O14" s="61"/>
      <c r="P14" s="61"/>
      <c r="Q14" s="49"/>
      <c r="R14" s="63" t="s">
        <v>47</v>
      </c>
      <c r="S14" s="61"/>
      <c r="T14" s="61"/>
    </row>
    <row r="15" spans="1:21" ht="7.95" customHeight="1" x14ac:dyDescent="0.3">
      <c r="E15" s="49"/>
      <c r="I15" s="49"/>
      <c r="M15" s="49"/>
      <c r="Q15" s="49"/>
    </row>
    <row r="16" spans="1:21" ht="25.95" customHeight="1" x14ac:dyDescent="0.3">
      <c r="B16" s="72" t="s">
        <v>48</v>
      </c>
      <c r="C16" s="61"/>
      <c r="D16" s="61"/>
      <c r="E16" s="49"/>
      <c r="F16" s="82" t="s">
        <v>49</v>
      </c>
      <c r="G16" s="61"/>
      <c r="H16" s="61"/>
      <c r="I16" s="49"/>
      <c r="J16" s="72" t="s">
        <v>50</v>
      </c>
      <c r="K16" s="61"/>
      <c r="L16" s="61"/>
      <c r="M16" s="49"/>
      <c r="N16" s="83" t="s">
        <v>51</v>
      </c>
      <c r="O16" s="61"/>
      <c r="P16" s="61"/>
      <c r="Q16" s="49"/>
      <c r="R16" s="88" t="s">
        <v>52</v>
      </c>
      <c r="S16" s="61"/>
      <c r="T16" s="61"/>
    </row>
    <row r="17" spans="1:21" ht="7.95" customHeight="1" x14ac:dyDescent="0.3"/>
    <row r="18" spans="1:21" ht="22.05" customHeight="1" x14ac:dyDescent="0.3">
      <c r="B18" s="69" t="s">
        <v>53</v>
      </c>
      <c r="C18" s="61"/>
      <c r="D18" s="84" t="s">
        <v>54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</row>
    <row r="19" spans="1:21" ht="7.95" customHeight="1" x14ac:dyDescent="0.3"/>
    <row r="20" spans="1:21" ht="19.95" customHeight="1" x14ac:dyDescent="0.3">
      <c r="A20" s="48"/>
      <c r="B20" s="67" t="s">
        <v>55</v>
      </c>
      <c r="C20" s="61"/>
      <c r="D20" s="61"/>
      <c r="E20" s="61"/>
      <c r="F20" s="60" t="s">
        <v>56</v>
      </c>
      <c r="G20" s="61"/>
      <c r="H20" s="61"/>
      <c r="I20" s="77" t="s">
        <v>57</v>
      </c>
      <c r="J20" s="61"/>
      <c r="K20" s="61"/>
      <c r="L20" s="70" t="s">
        <v>58</v>
      </c>
      <c r="M20" s="61"/>
      <c r="N20" s="61"/>
      <c r="O20" s="87" t="s">
        <v>59</v>
      </c>
      <c r="P20" s="61"/>
      <c r="Q20" s="61"/>
      <c r="R20" s="71" t="s">
        <v>60</v>
      </c>
      <c r="S20" s="61"/>
      <c r="T20" s="61"/>
      <c r="U20" s="48"/>
    </row>
    <row r="21" spans="1:21" ht="7.95" customHeight="1" x14ac:dyDescent="0.3"/>
    <row r="22" spans="1:21" ht="16.05" customHeight="1" x14ac:dyDescent="0.3">
      <c r="A22" s="49"/>
      <c r="B22" s="85" t="s">
        <v>61</v>
      </c>
      <c r="C22" s="61"/>
      <c r="D22" s="61"/>
      <c r="E22" s="78" t="s">
        <v>62</v>
      </c>
      <c r="F22" s="61"/>
      <c r="G22" s="61"/>
      <c r="H22" s="74" t="s">
        <v>63</v>
      </c>
      <c r="I22" s="61"/>
      <c r="J22" s="61"/>
      <c r="K22" s="65" t="s">
        <v>64</v>
      </c>
      <c r="L22" s="61"/>
      <c r="M22" s="61"/>
      <c r="N22" s="49"/>
      <c r="O22" s="68" t="s">
        <v>65</v>
      </c>
      <c r="P22" s="61"/>
      <c r="Q22" s="61"/>
      <c r="R22" s="61"/>
      <c r="S22" s="61"/>
      <c r="T22" s="61"/>
      <c r="U22" s="49"/>
    </row>
    <row r="23" spans="1:21" ht="7.95" customHeight="1" x14ac:dyDescent="0.3"/>
  </sheetData>
  <mergeCells count="70">
    <mergeCell ref="O20:Q20"/>
    <mergeCell ref="R16:T16"/>
    <mergeCell ref="R4:T4"/>
    <mergeCell ref="R13:T13"/>
    <mergeCell ref="F12:H12"/>
    <mergeCell ref="F7:H7"/>
    <mergeCell ref="B12:D12"/>
    <mergeCell ref="R7:T7"/>
    <mergeCell ref="N12:P12"/>
    <mergeCell ref="N16:P16"/>
    <mergeCell ref="J10:L10"/>
    <mergeCell ref="R11:T11"/>
    <mergeCell ref="D18:T18"/>
    <mergeCell ref="J13:L13"/>
    <mergeCell ref="R10:T10"/>
    <mergeCell ref="B2:O2"/>
    <mergeCell ref="N13:P13"/>
    <mergeCell ref="B9:D9"/>
    <mergeCell ref="N9:P9"/>
    <mergeCell ref="P2:T2"/>
    <mergeCell ref="F9:H9"/>
    <mergeCell ref="J12:L12"/>
    <mergeCell ref="B5:D5"/>
    <mergeCell ref="R5:T5"/>
    <mergeCell ref="B4:D4"/>
    <mergeCell ref="R9:T9"/>
    <mergeCell ref="F4:H4"/>
    <mergeCell ref="J8:L8"/>
    <mergeCell ref="N4:P4"/>
    <mergeCell ref="R8:T8"/>
    <mergeCell ref="B7:D7"/>
    <mergeCell ref="J4:L4"/>
    <mergeCell ref="N8:P8"/>
    <mergeCell ref="B20:E20"/>
    <mergeCell ref="O22:T22"/>
    <mergeCell ref="B18:C18"/>
    <mergeCell ref="L20:N20"/>
    <mergeCell ref="R20:T20"/>
    <mergeCell ref="J9:L9"/>
    <mergeCell ref="J11:L11"/>
    <mergeCell ref="B10:D10"/>
    <mergeCell ref="J7:L7"/>
    <mergeCell ref="J16:L16"/>
    <mergeCell ref="F13:H13"/>
    <mergeCell ref="N10:P10"/>
    <mergeCell ref="H22:J22"/>
    <mergeCell ref="I20:K20"/>
    <mergeCell ref="N14:P14"/>
    <mergeCell ref="F8:H8"/>
    <mergeCell ref="B13:D13"/>
    <mergeCell ref="N5:P5"/>
    <mergeCell ref="R12:T12"/>
    <mergeCell ref="F14:H14"/>
    <mergeCell ref="R14:T14"/>
    <mergeCell ref="F11:H11"/>
    <mergeCell ref="N11:P11"/>
    <mergeCell ref="J5:L5"/>
    <mergeCell ref="F10:H10"/>
    <mergeCell ref="N7:P7"/>
    <mergeCell ref="J14:L14"/>
    <mergeCell ref="F20:H20"/>
    <mergeCell ref="B11:D11"/>
    <mergeCell ref="B14:D14"/>
    <mergeCell ref="F5:H5"/>
    <mergeCell ref="K22:M22"/>
    <mergeCell ref="B8:D8"/>
    <mergeCell ref="E22:G22"/>
    <mergeCell ref="B16:D16"/>
    <mergeCell ref="F16:H16"/>
    <mergeCell ref="B22:D22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3A5C"/>
    <pageSetUpPr fitToPage="1"/>
  </sheetPr>
  <dimension ref="A1:U37"/>
  <sheetViews>
    <sheetView showGridLines="0" tabSelected="1" topLeftCell="A10" workbookViewId="0">
      <selection activeCell="S37" sqref="S37"/>
    </sheetView>
  </sheetViews>
  <sheetFormatPr defaultRowHeight="14.4" x14ac:dyDescent="0.3"/>
  <cols>
    <col min="1" max="1" width="1.44140625" customWidth="1"/>
    <col min="2" max="4" width="10.44140625" customWidth="1"/>
    <col min="5" max="5" width="1.21875" customWidth="1"/>
    <col min="6" max="8" width="10.44140625" customWidth="1"/>
    <col min="9" max="9" width="1.21875" customWidth="1"/>
    <col min="10" max="12" width="10.44140625" customWidth="1"/>
    <col min="13" max="13" width="1.21875" customWidth="1"/>
    <col min="14" max="16" width="10.44140625" customWidth="1"/>
    <col min="17" max="17" width="1.21875" customWidth="1"/>
    <col min="18" max="20" width="10.44140625" customWidth="1"/>
    <col min="21" max="21" width="1.44140625" customWidth="1"/>
  </cols>
  <sheetData>
    <row r="1" spans="1:21" ht="6" customHeight="1" x14ac:dyDescent="0.3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1" ht="28.05" customHeight="1" x14ac:dyDescent="0.3">
      <c r="A2" s="53"/>
      <c r="B2" s="106" t="s">
        <v>66</v>
      </c>
      <c r="C2" s="61"/>
      <c r="D2" s="61"/>
      <c r="E2" s="61"/>
      <c r="F2" s="61"/>
      <c r="G2" s="61"/>
      <c r="H2" s="61"/>
      <c r="I2" s="61"/>
      <c r="J2" s="61"/>
      <c r="K2" s="61"/>
      <c r="L2" s="56" t="s">
        <v>67</v>
      </c>
      <c r="M2" s="57" t="s">
        <v>68</v>
      </c>
      <c r="N2" s="54"/>
      <c r="O2" s="56" t="s">
        <v>67</v>
      </c>
      <c r="P2" s="58" t="s">
        <v>69</v>
      </c>
      <c r="Q2" s="53"/>
      <c r="R2" s="56" t="s">
        <v>67</v>
      </c>
      <c r="S2" s="59" t="s">
        <v>70</v>
      </c>
      <c r="T2" s="53"/>
      <c r="U2" s="53"/>
    </row>
    <row r="3" spans="1:21" ht="7.95" customHeight="1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</row>
    <row r="4" spans="1:21" ht="13.95" customHeight="1" x14ac:dyDescent="0.3">
      <c r="A4" s="52"/>
      <c r="B4" s="129">
        <v>1</v>
      </c>
      <c r="C4" s="97"/>
      <c r="D4" s="98"/>
      <c r="E4" s="52"/>
      <c r="F4" s="96" t="s">
        <v>71</v>
      </c>
      <c r="G4" s="97"/>
      <c r="H4" s="98"/>
      <c r="I4" s="52"/>
      <c r="J4" s="96" t="s">
        <v>72</v>
      </c>
      <c r="K4" s="97"/>
      <c r="L4" s="98"/>
      <c r="M4" s="52"/>
      <c r="N4" s="96" t="s">
        <v>73</v>
      </c>
      <c r="O4" s="97"/>
      <c r="P4" s="98"/>
      <c r="Q4" s="52"/>
      <c r="R4" s="96" t="s">
        <v>74</v>
      </c>
      <c r="S4" s="97"/>
      <c r="T4" s="98"/>
      <c r="U4" s="52"/>
    </row>
    <row r="5" spans="1:21" ht="46.05" customHeight="1" x14ac:dyDescent="0.3">
      <c r="A5" s="52"/>
      <c r="B5" s="89" t="str">
        <f>'Data Source → Product Map'!C7</f>
        <v>Your View - Spring 2026 (Pilot)</v>
      </c>
      <c r="C5" s="61"/>
      <c r="D5" s="90"/>
      <c r="E5" s="52"/>
      <c r="F5" s="89" t="str">
        <f>'Data Source → Product Map'!C8</f>
        <v>Your View - Spring 2026</v>
      </c>
      <c r="G5" s="61"/>
      <c r="H5" s="90"/>
      <c r="I5" s="52"/>
      <c r="J5" s="89" t="str">
        <f>'Data Source → Product Map'!C9</f>
        <v>Your View - Autumn 2026</v>
      </c>
      <c r="K5" s="61"/>
      <c r="L5" s="90"/>
      <c r="M5" s="52"/>
      <c r="N5" s="89" t="str">
        <f>'Data Source → Product Map'!C10</f>
        <v>Hiring Manager - Recruitment</v>
      </c>
      <c r="O5" s="61"/>
      <c r="P5" s="90"/>
      <c r="Q5" s="52"/>
      <c r="R5" s="89" t="str">
        <f>'Data Source → Product Map'!C11</f>
        <v>Hiring Manager - Onboarding</v>
      </c>
      <c r="S5" s="61"/>
      <c r="T5" s="90"/>
      <c r="U5" s="52"/>
    </row>
    <row r="6" spans="1:21" ht="16.95" customHeight="1" x14ac:dyDescent="0.3">
      <c r="A6" s="52"/>
      <c r="B6" s="92" t="s">
        <v>75</v>
      </c>
      <c r="C6" s="61"/>
      <c r="D6" s="55"/>
      <c r="E6" s="52"/>
      <c r="F6" s="92" t="s">
        <v>75</v>
      </c>
      <c r="G6" s="61"/>
      <c r="H6" s="55"/>
      <c r="I6" s="52"/>
      <c r="J6" s="92" t="s">
        <v>75</v>
      </c>
      <c r="K6" s="61"/>
      <c r="L6" s="55"/>
      <c r="M6" s="52"/>
      <c r="N6" s="100" t="s">
        <v>76</v>
      </c>
      <c r="O6" s="61"/>
      <c r="P6" s="55"/>
      <c r="Q6" s="52"/>
      <c r="R6" s="100" t="s">
        <v>76</v>
      </c>
      <c r="S6" s="61"/>
      <c r="T6" s="55"/>
      <c r="U6" s="52"/>
    </row>
    <row r="7" spans="1:21" ht="16.95" customHeight="1" x14ac:dyDescent="0.3">
      <c r="A7" s="52"/>
      <c r="B7" s="103" t="str">
        <f>'Data Source → Product Map'!I7</f>
        <v>Qualtrics</v>
      </c>
      <c r="C7" s="94"/>
      <c r="D7" s="95"/>
      <c r="E7" s="52"/>
      <c r="F7" s="103" t="str">
        <f>'Data Source → Product Map'!I8</f>
        <v>Qualtrics</v>
      </c>
      <c r="G7" s="94"/>
      <c r="H7" s="95"/>
      <c r="I7" s="52"/>
      <c r="J7" s="103" t="str">
        <f>'Data Source → Product Map'!I9</f>
        <v>Qualtrics</v>
      </c>
      <c r="K7" s="94"/>
      <c r="L7" s="95"/>
      <c r="M7" s="52"/>
      <c r="N7" s="99" t="str">
        <f>'Data Source → Product Map'!I10</f>
        <v>Viva Glint??</v>
      </c>
      <c r="O7" s="94"/>
      <c r="P7" s="95"/>
      <c r="Q7" s="52"/>
      <c r="R7" s="99" t="str">
        <f>'Data Source → Product Map'!I11</f>
        <v>Viva Glint??</v>
      </c>
      <c r="S7" s="94"/>
      <c r="T7" s="95"/>
      <c r="U7" s="52"/>
    </row>
    <row r="8" spans="1:21" ht="7.05" customHeight="1" x14ac:dyDescent="0.3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</row>
    <row r="9" spans="1:21" x14ac:dyDescent="0.3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</row>
    <row r="10" spans="1:21" ht="13.95" customHeight="1" x14ac:dyDescent="0.3">
      <c r="A10" s="52"/>
      <c r="B10" s="96" t="s">
        <v>77</v>
      </c>
      <c r="C10" s="97"/>
      <c r="D10" s="98"/>
      <c r="E10" s="52"/>
      <c r="F10" s="96" t="s">
        <v>78</v>
      </c>
      <c r="G10" s="97"/>
      <c r="H10" s="98"/>
      <c r="I10" s="52"/>
      <c r="J10" s="96" t="s">
        <v>79</v>
      </c>
      <c r="K10" s="97"/>
      <c r="L10" s="98"/>
      <c r="M10" s="52"/>
      <c r="N10" s="96" t="s">
        <v>80</v>
      </c>
      <c r="O10" s="97"/>
      <c r="P10" s="98"/>
      <c r="Q10" s="52"/>
      <c r="R10" s="96" t="s">
        <v>81</v>
      </c>
      <c r="S10" s="97"/>
      <c r="T10" s="98"/>
      <c r="U10" s="52"/>
    </row>
    <row r="11" spans="1:21" ht="46.05" customHeight="1" x14ac:dyDescent="0.3">
      <c r="A11" s="52"/>
      <c r="B11" s="89" t="str">
        <f>'Data Source → Product Map'!C12</f>
        <v>Mandatory training survey</v>
      </c>
      <c r="C11" s="61"/>
      <c r="D11" s="90"/>
      <c r="E11" s="52"/>
      <c r="F11" s="89" t="str">
        <f>'Data Source → Product Map'!C13</f>
        <v>Learning satisfaction survey</v>
      </c>
      <c r="G11" s="61"/>
      <c r="H11" s="90"/>
      <c r="I11" s="52"/>
      <c r="J11" s="89" t="str">
        <f>'Data Source → Product Map'!C14</f>
        <v>HR experience - H1 2026</v>
      </c>
      <c r="K11" s="61"/>
      <c r="L11" s="90"/>
      <c r="M11" s="52"/>
      <c r="N11" s="89" t="str">
        <f>'Data Source → Product Map'!C15</f>
        <v>HR experience - H2 2026</v>
      </c>
      <c r="O11" s="61"/>
      <c r="P11" s="90"/>
      <c r="Q11" s="52"/>
      <c r="R11" s="89" t="str">
        <f>'Data Source → Product Map'!C16</f>
        <v>Group Exit survey (Leaving the Bank)</v>
      </c>
      <c r="S11" s="61"/>
      <c r="T11" s="90"/>
      <c r="U11" s="52"/>
    </row>
    <row r="12" spans="1:21" ht="16.95" customHeight="1" x14ac:dyDescent="0.3">
      <c r="A12" s="52"/>
      <c r="B12" s="92" t="s">
        <v>75</v>
      </c>
      <c r="C12" s="61"/>
      <c r="D12" s="55"/>
      <c r="E12" s="52"/>
      <c r="F12" s="92" t="s">
        <v>75</v>
      </c>
      <c r="G12" s="61"/>
      <c r="H12" s="55"/>
      <c r="I12" s="52"/>
      <c r="J12" s="92" t="s">
        <v>75</v>
      </c>
      <c r="K12" s="61"/>
      <c r="L12" s="55"/>
      <c r="M12" s="52"/>
      <c r="N12" s="100" t="s">
        <v>76</v>
      </c>
      <c r="O12" s="61"/>
      <c r="P12" s="55"/>
      <c r="Q12" s="52"/>
      <c r="R12" s="100" t="s">
        <v>76</v>
      </c>
      <c r="S12" s="61"/>
      <c r="T12" s="55"/>
      <c r="U12" s="52"/>
    </row>
    <row r="13" spans="1:21" ht="16.95" customHeight="1" x14ac:dyDescent="0.3">
      <c r="A13" s="52"/>
      <c r="B13" s="103" t="str">
        <f>'Data Source → Product Map'!I12</f>
        <v>Viva Glint</v>
      </c>
      <c r="C13" s="94"/>
      <c r="D13" s="95"/>
      <c r="E13" s="52"/>
      <c r="F13" s="99" t="str">
        <f>'Data Source → Product Map'!I13</f>
        <v>Qualtrics / Viva Glint??</v>
      </c>
      <c r="G13" s="94"/>
      <c r="H13" s="95"/>
      <c r="I13" s="52"/>
      <c r="J13" s="99" t="str">
        <f>'Data Source → Product Map'!I14</f>
        <v>Viva Glint??</v>
      </c>
      <c r="K13" s="94"/>
      <c r="L13" s="95"/>
      <c r="M13" s="52"/>
      <c r="N13" s="93" t="str">
        <f>'Data Source → Product Map'!I15</f>
        <v>Microsoft Forms</v>
      </c>
      <c r="O13" s="94"/>
      <c r="P13" s="95"/>
      <c r="Q13" s="52"/>
      <c r="R13" s="93" t="str">
        <f>'Data Source → Product Map'!I16</f>
        <v>Microsoft Forms</v>
      </c>
      <c r="S13" s="94"/>
      <c r="T13" s="95"/>
      <c r="U13" s="52"/>
    </row>
    <row r="14" spans="1:21" ht="7.05" customHeight="1" x14ac:dyDescent="0.3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</row>
    <row r="15" spans="1:21" x14ac:dyDescent="0.3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</row>
    <row r="16" spans="1:21" ht="13.95" customHeight="1" x14ac:dyDescent="0.3">
      <c r="A16" s="52"/>
      <c r="B16" s="96" t="s">
        <v>82</v>
      </c>
      <c r="C16" s="97"/>
      <c r="D16" s="98"/>
      <c r="E16" s="52"/>
      <c r="F16" s="96" t="s">
        <v>83</v>
      </c>
      <c r="G16" s="97"/>
      <c r="H16" s="98"/>
      <c r="I16" s="52"/>
      <c r="J16" s="96" t="s">
        <v>84</v>
      </c>
      <c r="K16" s="97"/>
      <c r="L16" s="98"/>
      <c r="M16" s="52"/>
      <c r="N16" s="96" t="s">
        <v>85</v>
      </c>
      <c r="O16" s="97"/>
      <c r="P16" s="98"/>
      <c r="Q16" s="52"/>
      <c r="R16" s="96" t="s">
        <v>86</v>
      </c>
      <c r="S16" s="97"/>
      <c r="T16" s="98"/>
      <c r="U16" s="52"/>
    </row>
    <row r="17" spans="1:21" ht="46.05" customHeight="1" x14ac:dyDescent="0.3">
      <c r="A17" s="52"/>
      <c r="B17" s="89" t="str">
        <f>'Data Source → Product Map'!C17</f>
        <v>CIB exit interviews for female colleagues</v>
      </c>
      <c r="C17" s="61"/>
      <c r="D17" s="90"/>
      <c r="E17" s="52"/>
      <c r="F17" s="89" t="str">
        <f>'Data Source → Product Map'!C18</f>
        <v>Barometer - Global</v>
      </c>
      <c r="G17" s="61"/>
      <c r="H17" s="90"/>
      <c r="I17" s="52"/>
      <c r="J17" s="89" t="str">
        <f>'Data Source → Product Map'!C19</f>
        <v>BUK Barometer</v>
      </c>
      <c r="K17" s="61"/>
      <c r="L17" s="90"/>
      <c r="M17" s="52"/>
      <c r="N17" s="89" t="str">
        <f>'Data Source → Product Map'!C20</f>
        <v>360 survey</v>
      </c>
      <c r="O17" s="61"/>
      <c r="P17" s="90"/>
      <c r="Q17" s="52"/>
      <c r="R17" s="89" t="str">
        <f>'Data Source → Product Map'!C21</f>
        <v>HR case experience</v>
      </c>
      <c r="S17" s="61"/>
      <c r="T17" s="90"/>
      <c r="U17" s="52"/>
    </row>
    <row r="18" spans="1:21" ht="16.95" customHeight="1" x14ac:dyDescent="0.3">
      <c r="A18" s="52"/>
      <c r="B18" s="100" t="s">
        <v>76</v>
      </c>
      <c r="C18" s="61"/>
      <c r="D18" s="55"/>
      <c r="E18" s="52"/>
      <c r="F18" s="100" t="s">
        <v>76</v>
      </c>
      <c r="G18" s="61"/>
      <c r="H18" s="55"/>
      <c r="I18" s="52"/>
      <c r="J18" s="100" t="s">
        <v>76</v>
      </c>
      <c r="K18" s="61"/>
      <c r="L18" s="55"/>
      <c r="M18" s="52"/>
      <c r="N18" s="104" t="s">
        <v>87</v>
      </c>
      <c r="O18" s="61"/>
      <c r="P18" s="55"/>
      <c r="Q18" s="52"/>
      <c r="R18" s="100" t="s">
        <v>76</v>
      </c>
      <c r="S18" s="61"/>
      <c r="T18" s="55"/>
      <c r="U18" s="52"/>
    </row>
    <row r="19" spans="1:21" ht="16.95" customHeight="1" x14ac:dyDescent="0.3">
      <c r="A19" s="52"/>
      <c r="B19" s="93" t="str">
        <f>'Data Source → Product Map'!I17</f>
        <v>Microsoft Forms</v>
      </c>
      <c r="C19" s="94"/>
      <c r="D19" s="95"/>
      <c r="E19" s="52"/>
      <c r="F19" s="93" t="str">
        <f>'Data Source → Product Map'!I18</f>
        <v>Microsoft Forms</v>
      </c>
      <c r="G19" s="94"/>
      <c r="H19" s="95"/>
      <c r="I19" s="52"/>
      <c r="J19" s="93" t="str">
        <f>'Data Source → Product Map'!I19</f>
        <v>Viva Glint</v>
      </c>
      <c r="K19" s="94"/>
      <c r="L19" s="95"/>
      <c r="M19" s="52"/>
      <c r="N19" s="99" t="str">
        <f>'Data Source → Product Map'!I20</f>
        <v>TBD</v>
      </c>
      <c r="O19" s="94"/>
      <c r="P19" s="95"/>
      <c r="Q19" s="52"/>
      <c r="R19" s="99" t="str">
        <f>'Data Source → Product Map'!I21</f>
        <v>Viva Pulse??</v>
      </c>
      <c r="S19" s="94"/>
      <c r="T19" s="95"/>
      <c r="U19" s="52"/>
    </row>
    <row r="20" spans="1:21" ht="7.05" customHeight="1" x14ac:dyDescent="0.3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</row>
    <row r="21" spans="1:21" x14ac:dyDescent="0.3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</row>
    <row r="22" spans="1:21" ht="13.95" customHeight="1" x14ac:dyDescent="0.3">
      <c r="A22" s="52"/>
      <c r="B22" s="96" t="s">
        <v>88</v>
      </c>
      <c r="C22" s="97"/>
      <c r="D22" s="98"/>
      <c r="E22" s="52"/>
      <c r="F22" s="96" t="s">
        <v>89</v>
      </c>
      <c r="G22" s="97"/>
      <c r="H22" s="98"/>
      <c r="I22" s="52"/>
      <c r="J22" s="96" t="s">
        <v>90</v>
      </c>
      <c r="K22" s="97"/>
      <c r="L22" s="98"/>
      <c r="M22" s="52"/>
      <c r="N22" s="96" t="s">
        <v>91</v>
      </c>
      <c r="O22" s="97"/>
      <c r="P22" s="98"/>
      <c r="Q22" s="52"/>
      <c r="R22" s="96" t="s">
        <v>92</v>
      </c>
      <c r="S22" s="97"/>
      <c r="T22" s="98"/>
      <c r="U22" s="52"/>
    </row>
    <row r="23" spans="1:21" ht="46.05" customHeight="1" x14ac:dyDescent="0.3">
      <c r="A23" s="52"/>
      <c r="B23" s="89" t="str">
        <f>'Data Source → Product Map'!C22</f>
        <v>Team Satisfaction feedback (Speak up)</v>
      </c>
      <c r="C23" s="61"/>
      <c r="D23" s="90"/>
      <c r="E23" s="52"/>
      <c r="F23" s="89" t="str">
        <f>'Data Source → Product Map'!C23</f>
        <v>Organisational effectiveness</v>
      </c>
      <c r="G23" s="61"/>
      <c r="H23" s="90"/>
      <c r="I23" s="52"/>
      <c r="J23" s="89" t="str">
        <f>'Data Source → Product Map'!C24</f>
        <v>Workplace adjustment colleague satisfaction</v>
      </c>
      <c r="K23" s="61"/>
      <c r="L23" s="90"/>
      <c r="M23" s="52"/>
      <c r="N23" s="89" t="str">
        <f>'Data Source → Product Map'!C25</f>
        <v>Career transition services survey (Redeployment)</v>
      </c>
      <c r="O23" s="61"/>
      <c r="P23" s="90"/>
      <c r="Q23" s="52"/>
      <c r="R23" s="89" t="str">
        <f>'Data Source → Product Map'!C26</f>
        <v>Colleague Listening assessment tool (Control for MS Forms platform)</v>
      </c>
      <c r="S23" s="61"/>
      <c r="T23" s="90"/>
      <c r="U23" s="52"/>
    </row>
    <row r="24" spans="1:21" ht="16.95" customHeight="1" x14ac:dyDescent="0.3">
      <c r="A24" s="52"/>
      <c r="B24" s="100" t="s">
        <v>76</v>
      </c>
      <c r="C24" s="61"/>
      <c r="D24" s="55"/>
      <c r="E24" s="52"/>
      <c r="F24" s="100" t="s">
        <v>76</v>
      </c>
      <c r="G24" s="61"/>
      <c r="H24" s="55"/>
      <c r="I24" s="52"/>
      <c r="J24" s="100" t="s">
        <v>76</v>
      </c>
      <c r="K24" s="61"/>
      <c r="L24" s="55"/>
      <c r="M24" s="52"/>
      <c r="N24" s="100" t="s">
        <v>76</v>
      </c>
      <c r="O24" s="61"/>
      <c r="P24" s="55"/>
      <c r="Q24" s="52"/>
      <c r="R24" s="104" t="s">
        <v>87</v>
      </c>
      <c r="S24" s="61"/>
      <c r="T24" s="55"/>
      <c r="U24" s="52"/>
    </row>
    <row r="25" spans="1:21" ht="16.95" customHeight="1" x14ac:dyDescent="0.3">
      <c r="A25" s="52"/>
      <c r="B25" s="93" t="str">
        <f>'Data Source → Product Map'!I22</f>
        <v>Viva Glint</v>
      </c>
      <c r="C25" s="94"/>
      <c r="D25" s="95"/>
      <c r="E25" s="52"/>
      <c r="F25" s="93" t="str">
        <f>'Data Source → Product Map'!I23</f>
        <v>Microsoft Forms</v>
      </c>
      <c r="G25" s="94"/>
      <c r="H25" s="95"/>
      <c r="I25" s="52"/>
      <c r="J25" s="93" t="str">
        <f>'Data Source → Product Map'!I24</f>
        <v>Viva Pulse</v>
      </c>
      <c r="K25" s="94"/>
      <c r="L25" s="95"/>
      <c r="M25" s="52"/>
      <c r="N25" s="93" t="str">
        <f>'Data Source → Product Map'!I25</f>
        <v>Viva Glint</v>
      </c>
      <c r="O25" s="94"/>
      <c r="P25" s="95"/>
      <c r="Q25" s="52"/>
      <c r="R25" s="99" t="str">
        <f>'Data Source → Product Map'!I26</f>
        <v>TBD</v>
      </c>
      <c r="S25" s="94"/>
      <c r="T25" s="95"/>
      <c r="U25" s="52"/>
    </row>
    <row r="26" spans="1:21" ht="7.05" customHeight="1" x14ac:dyDescent="0.3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</row>
    <row r="27" spans="1:21" x14ac:dyDescent="0.3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</row>
    <row r="28" spans="1:21" ht="13.95" customHeight="1" x14ac:dyDescent="0.3">
      <c r="A28" s="52"/>
      <c r="B28" s="96" t="s">
        <v>93</v>
      </c>
      <c r="C28" s="97"/>
      <c r="D28" s="98"/>
      <c r="E28" s="52"/>
      <c r="F28" s="96" t="s">
        <v>94</v>
      </c>
      <c r="G28" s="97"/>
      <c r="H28" s="98"/>
      <c r="I28" s="52"/>
      <c r="J28" s="96" t="s">
        <v>95</v>
      </c>
      <c r="K28" s="97"/>
      <c r="L28" s="98"/>
      <c r="M28" s="52"/>
      <c r="N28" s="96" t="s">
        <v>96</v>
      </c>
      <c r="O28" s="97"/>
      <c r="P28" s="98"/>
      <c r="Q28" s="52"/>
      <c r="R28" s="96" t="s">
        <v>97</v>
      </c>
      <c r="S28" s="97"/>
      <c r="T28" s="98"/>
      <c r="U28" s="52"/>
    </row>
    <row r="29" spans="1:21" ht="46.05" customHeight="1" x14ac:dyDescent="0.3">
      <c r="A29" s="52"/>
      <c r="B29" s="89" t="str">
        <f>'Data Source → Product Map'!C27</f>
        <v>Post online Assessment (SHL) Survey</v>
      </c>
      <c r="C29" s="61"/>
      <c r="D29" s="90"/>
      <c r="E29" s="52"/>
      <c r="F29" s="89" t="str">
        <f>'Data Source → Product Map'!C28</f>
        <v>Monthly Corporate Comms Pulse</v>
      </c>
      <c r="G29" s="61"/>
      <c r="H29" s="90"/>
      <c r="I29" s="52"/>
      <c r="J29" s="89" t="str">
        <f>'Data Source → Product Map'!C29</f>
        <v>Candidate Experience</v>
      </c>
      <c r="K29" s="61"/>
      <c r="L29" s="90"/>
      <c r="M29" s="52"/>
      <c r="N29" s="89" t="str">
        <f>'Data Source → Product Map'!C30</f>
        <v>Alumni</v>
      </c>
      <c r="O29" s="61"/>
      <c r="P29" s="90"/>
      <c r="Q29" s="52"/>
      <c r="R29" s="89" t="str">
        <f>'Data Source → Product Map'!C31</f>
        <v>MMR App</v>
      </c>
      <c r="S29" s="61"/>
      <c r="T29" s="90"/>
      <c r="U29" s="52"/>
    </row>
    <row r="30" spans="1:21" ht="16.95" customHeight="1" x14ac:dyDescent="0.3">
      <c r="A30" s="52"/>
      <c r="B30" s="104" t="s">
        <v>87</v>
      </c>
      <c r="C30" s="61"/>
      <c r="D30" s="55"/>
      <c r="E30" s="52"/>
      <c r="F30" s="104" t="s">
        <v>87</v>
      </c>
      <c r="G30" s="61"/>
      <c r="H30" s="55"/>
      <c r="I30" s="52"/>
      <c r="J30" s="104" t="s">
        <v>87</v>
      </c>
      <c r="K30" s="61"/>
      <c r="L30" s="55"/>
      <c r="M30" s="52"/>
      <c r="N30" s="104" t="s">
        <v>87</v>
      </c>
      <c r="O30" s="61"/>
      <c r="P30" s="55"/>
      <c r="Q30" s="52"/>
      <c r="R30" s="92" t="s">
        <v>75</v>
      </c>
      <c r="S30" s="61"/>
      <c r="T30" s="55"/>
      <c r="U30" s="52"/>
    </row>
    <row r="31" spans="1:21" ht="16.95" customHeight="1" x14ac:dyDescent="0.3">
      <c r="A31" s="52"/>
      <c r="B31" s="99" t="str">
        <f>'Data Source → Product Map'!I27</f>
        <v>TBD</v>
      </c>
      <c r="C31" s="94"/>
      <c r="D31" s="95"/>
      <c r="E31" s="52"/>
      <c r="F31" s="99" t="str">
        <f>'Data Source → Product Map'!I28</f>
        <v>TBD</v>
      </c>
      <c r="G31" s="94"/>
      <c r="H31" s="95"/>
      <c r="I31" s="52"/>
      <c r="J31" s="99" t="str">
        <f>'Data Source → Product Map'!I29</f>
        <v>TBD</v>
      </c>
      <c r="K31" s="94"/>
      <c r="L31" s="95"/>
      <c r="M31" s="52"/>
      <c r="N31" s="99" t="str">
        <f>'Data Source → Product Map'!I30</f>
        <v>TBD</v>
      </c>
      <c r="O31" s="94"/>
      <c r="P31" s="95"/>
      <c r="Q31" s="52"/>
      <c r="R31" s="103" t="str">
        <f>'Data Source → Product Map'!I31</f>
        <v>Viva Glint</v>
      </c>
      <c r="S31" s="94"/>
      <c r="T31" s="95"/>
      <c r="U31" s="52"/>
    </row>
    <row r="32" spans="1:21" ht="7.05" customHeight="1" x14ac:dyDescent="0.3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</row>
    <row r="33" spans="1:21" ht="7.95" customHeight="1" x14ac:dyDescent="0.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</row>
    <row r="34" spans="1:21" ht="18" customHeight="1" x14ac:dyDescent="0.3">
      <c r="A34" s="52"/>
      <c r="B34" s="105" t="s">
        <v>98</v>
      </c>
      <c r="C34" s="61"/>
      <c r="D34" s="61"/>
      <c r="E34" s="61"/>
      <c r="F34" s="52"/>
      <c r="G34" s="101" t="s">
        <v>99</v>
      </c>
      <c r="H34" s="61"/>
      <c r="I34" s="61"/>
      <c r="J34" s="61"/>
      <c r="K34" s="52"/>
      <c r="L34" s="91" t="s">
        <v>100</v>
      </c>
      <c r="M34" s="61"/>
      <c r="N34" s="61"/>
      <c r="O34" s="61"/>
      <c r="P34" s="52"/>
      <c r="Q34" s="102"/>
      <c r="R34" s="61"/>
      <c r="S34" s="61"/>
      <c r="T34" s="61"/>
      <c r="U34" s="52"/>
    </row>
    <row r="35" spans="1:21" ht="6" customHeight="1" x14ac:dyDescent="0.3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</row>
    <row r="36" spans="1:21" x14ac:dyDescent="0.3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 spans="1:21" x14ac:dyDescent="0.3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</row>
  </sheetData>
  <mergeCells count="105">
    <mergeCell ref="B2:K2"/>
    <mergeCell ref="B7:D7"/>
    <mergeCell ref="B16:D16"/>
    <mergeCell ref="N7:P7"/>
    <mergeCell ref="F10:H10"/>
    <mergeCell ref="F19:H19"/>
    <mergeCell ref="N16:P16"/>
    <mergeCell ref="R10:T10"/>
    <mergeCell ref="J18:K18"/>
    <mergeCell ref="R7:T7"/>
    <mergeCell ref="R16:T16"/>
    <mergeCell ref="R19:T19"/>
    <mergeCell ref="B22:D22"/>
    <mergeCell ref="J19:L19"/>
    <mergeCell ref="R28:T28"/>
    <mergeCell ref="B34:E34"/>
    <mergeCell ref="R25:T25"/>
    <mergeCell ref="N5:P5"/>
    <mergeCell ref="B29:D29"/>
    <mergeCell ref="N29:P29"/>
    <mergeCell ref="J30:K30"/>
    <mergeCell ref="F12:G12"/>
    <mergeCell ref="F24:G24"/>
    <mergeCell ref="F28:H28"/>
    <mergeCell ref="J6:K6"/>
    <mergeCell ref="J22:L22"/>
    <mergeCell ref="N13:P13"/>
    <mergeCell ref="R24:S24"/>
    <mergeCell ref="J31:L31"/>
    <mergeCell ref="N31:P31"/>
    <mergeCell ref="J23:L23"/>
    <mergeCell ref="J4:L4"/>
    <mergeCell ref="F23:H23"/>
    <mergeCell ref="F13:H13"/>
    <mergeCell ref="J24:K24"/>
    <mergeCell ref="N18:O18"/>
    <mergeCell ref="J17:L17"/>
    <mergeCell ref="B25:D25"/>
    <mergeCell ref="N11:P11"/>
    <mergeCell ref="F16:H16"/>
    <mergeCell ref="N25:P25"/>
    <mergeCell ref="J10:L10"/>
    <mergeCell ref="F4:H4"/>
    <mergeCell ref="Q34:T34"/>
    <mergeCell ref="R18:S18"/>
    <mergeCell ref="F7:H7"/>
    <mergeCell ref="B17:D17"/>
    <mergeCell ref="F6:G6"/>
    <mergeCell ref="B18:C18"/>
    <mergeCell ref="J7:L7"/>
    <mergeCell ref="B10:D10"/>
    <mergeCell ref="B19:D19"/>
    <mergeCell ref="J16:L16"/>
    <mergeCell ref="F30:G30"/>
    <mergeCell ref="N10:P10"/>
    <mergeCell ref="F18:G18"/>
    <mergeCell ref="R17:T17"/>
    <mergeCell ref="F29:H29"/>
    <mergeCell ref="F11:H11"/>
    <mergeCell ref="F25:H25"/>
    <mergeCell ref="B6:C6"/>
    <mergeCell ref="R29:T29"/>
    <mergeCell ref="R11:T11"/>
    <mergeCell ref="J12:K12"/>
    <mergeCell ref="N30:O30"/>
    <mergeCell ref="B31:D31"/>
    <mergeCell ref="J28:L28"/>
    <mergeCell ref="R30:S30"/>
    <mergeCell ref="F31:H31"/>
    <mergeCell ref="N28:P28"/>
    <mergeCell ref="R6:S6"/>
    <mergeCell ref="R22:T22"/>
    <mergeCell ref="R12:S12"/>
    <mergeCell ref="R5:T5"/>
    <mergeCell ref="B4:D4"/>
    <mergeCell ref="R23:T23"/>
    <mergeCell ref="N4:P4"/>
    <mergeCell ref="J29:L29"/>
    <mergeCell ref="B24:C24"/>
    <mergeCell ref="J13:L13"/>
    <mergeCell ref="N24:O24"/>
    <mergeCell ref="R4:T4"/>
    <mergeCell ref="B5:D5"/>
    <mergeCell ref="J5:L5"/>
    <mergeCell ref="N6:O6"/>
    <mergeCell ref="N22:P22"/>
    <mergeCell ref="R13:T13"/>
    <mergeCell ref="R31:T31"/>
    <mergeCell ref="B23:D23"/>
    <mergeCell ref="B13:D13"/>
    <mergeCell ref="N23:P23"/>
    <mergeCell ref="B11:D11"/>
    <mergeCell ref="F5:H5"/>
    <mergeCell ref="L34:O34"/>
    <mergeCell ref="N17:P17"/>
    <mergeCell ref="F17:H17"/>
    <mergeCell ref="J11:L11"/>
    <mergeCell ref="B12:C12"/>
    <mergeCell ref="J25:L25"/>
    <mergeCell ref="B28:D28"/>
    <mergeCell ref="N19:P19"/>
    <mergeCell ref="F22:H22"/>
    <mergeCell ref="N12:O12"/>
    <mergeCell ref="G34:J34"/>
    <mergeCell ref="B30:C30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6"/>
  <sheetViews>
    <sheetView showGridLines="0" zoomScaleNormal="100" workbookViewId="0">
      <selection activeCell="N8" sqref="N8:P8"/>
    </sheetView>
  </sheetViews>
  <sheetFormatPr defaultColWidth="8.6640625" defaultRowHeight="14.4" x14ac:dyDescent="0.3"/>
  <cols>
    <col min="1" max="1" width="3" customWidth="1"/>
    <col min="2" max="2" width="30" customWidth="1"/>
    <col min="3" max="3" width="44" customWidth="1"/>
    <col min="4" max="6" width="22" customWidth="1"/>
  </cols>
  <sheetData>
    <row r="2" spans="2:6" ht="25.5" customHeight="1" x14ac:dyDescent="0.3">
      <c r="B2" s="110" t="s">
        <v>101</v>
      </c>
      <c r="C2" s="111"/>
      <c r="D2" s="111"/>
      <c r="E2" s="111"/>
      <c r="F2" s="111"/>
    </row>
    <row r="3" spans="2:6" ht="25.5" customHeight="1" x14ac:dyDescent="0.3">
      <c r="B3" s="112"/>
      <c r="C3" s="61"/>
      <c r="D3" s="61"/>
      <c r="E3" s="61"/>
      <c r="F3" s="61"/>
    </row>
    <row r="4" spans="2:6" ht="19.5" customHeight="1" x14ac:dyDescent="0.3">
      <c r="B4" s="107" t="s">
        <v>102</v>
      </c>
      <c r="C4" s="108"/>
      <c r="D4" s="108"/>
      <c r="E4" s="108"/>
      <c r="F4" s="108"/>
    </row>
    <row r="6" spans="2:6" ht="13.5" customHeight="1" x14ac:dyDescent="0.3">
      <c r="B6" s="109" t="s">
        <v>103</v>
      </c>
      <c r="C6" s="108"/>
      <c r="D6" s="108"/>
      <c r="E6" s="108"/>
      <c r="F6" s="108"/>
    </row>
    <row r="7" spans="2:6" ht="18" customHeight="1" x14ac:dyDescent="0.3">
      <c r="B7" s="115" t="s">
        <v>104</v>
      </c>
      <c r="C7" s="114" t="s">
        <v>105</v>
      </c>
      <c r="D7" s="116" t="s">
        <v>106</v>
      </c>
      <c r="E7" s="117" t="s">
        <v>107</v>
      </c>
      <c r="F7" s="113" t="s">
        <v>108</v>
      </c>
    </row>
    <row r="8" spans="2:6" ht="18" customHeight="1" x14ac:dyDescent="0.3">
      <c r="B8" s="61"/>
      <c r="C8" s="61"/>
      <c r="D8" s="61"/>
      <c r="E8" s="61"/>
      <c r="F8" s="61"/>
    </row>
    <row r="9" spans="2:6" ht="18" customHeight="1" x14ac:dyDescent="0.3">
      <c r="B9" s="61"/>
      <c r="C9" s="61"/>
      <c r="D9" s="61"/>
      <c r="E9" s="61"/>
      <c r="F9" s="61"/>
    </row>
    <row r="10" spans="2:6" ht="18" customHeight="1" x14ac:dyDescent="0.3">
      <c r="B10" s="61"/>
      <c r="C10" s="61"/>
      <c r="D10" s="61"/>
      <c r="E10" s="61"/>
      <c r="F10" s="61"/>
    </row>
    <row r="12" spans="2:6" ht="13.5" customHeight="1" x14ac:dyDescent="0.3">
      <c r="B12" s="109" t="s">
        <v>109</v>
      </c>
      <c r="C12" s="108"/>
      <c r="D12" s="108"/>
      <c r="E12" s="108"/>
      <c r="F12" s="108"/>
    </row>
    <row r="13" spans="2:6" ht="18" customHeight="1" x14ac:dyDescent="0.3">
      <c r="B13" s="1" t="s">
        <v>110</v>
      </c>
      <c r="C13" s="2" t="s">
        <v>111</v>
      </c>
    </row>
    <row r="14" spans="2:6" ht="18" customHeight="1" x14ac:dyDescent="0.3">
      <c r="B14" s="3" t="s">
        <v>112</v>
      </c>
      <c r="C14" s="2" t="s">
        <v>113</v>
      </c>
    </row>
    <row r="15" spans="2:6" ht="18" customHeight="1" x14ac:dyDescent="0.3">
      <c r="B15" s="4" t="s">
        <v>114</v>
      </c>
      <c r="C15" s="2" t="s">
        <v>115</v>
      </c>
    </row>
    <row r="16" spans="2:6" ht="18" customHeight="1" x14ac:dyDescent="0.3">
      <c r="B16" s="5" t="s">
        <v>116</v>
      </c>
      <c r="C16" s="2" t="s">
        <v>117</v>
      </c>
    </row>
    <row r="17" spans="2:6" ht="18" customHeight="1" x14ac:dyDescent="0.3">
      <c r="B17" s="6" t="s">
        <v>118</v>
      </c>
      <c r="C17" s="2" t="s">
        <v>119</v>
      </c>
    </row>
    <row r="18" spans="2:6" ht="18" customHeight="1" x14ac:dyDescent="0.3">
      <c r="B18" s="7" t="s">
        <v>120</v>
      </c>
      <c r="C18" s="2" t="s">
        <v>121</v>
      </c>
    </row>
    <row r="19" spans="2:6" ht="18" customHeight="1" x14ac:dyDescent="0.3">
      <c r="B19" s="8" t="s">
        <v>122</v>
      </c>
      <c r="C19" s="2" t="s">
        <v>123</v>
      </c>
    </row>
    <row r="20" spans="2:6" ht="18" customHeight="1" x14ac:dyDescent="0.3">
      <c r="B20" s="9" t="s">
        <v>124</v>
      </c>
      <c r="C20" s="2" t="s">
        <v>125</v>
      </c>
    </row>
    <row r="22" spans="2:6" ht="13.5" customHeight="1" x14ac:dyDescent="0.3">
      <c r="B22" s="109" t="s">
        <v>126</v>
      </c>
      <c r="C22" s="108"/>
      <c r="D22" s="108"/>
      <c r="E22" s="108"/>
      <c r="F22" s="108"/>
    </row>
    <row r="23" spans="2:6" ht="18" customHeight="1" x14ac:dyDescent="0.3">
      <c r="B23" s="10" t="s">
        <v>127</v>
      </c>
      <c r="C23" s="2" t="s">
        <v>128</v>
      </c>
    </row>
    <row r="24" spans="2:6" ht="18" customHeight="1" x14ac:dyDescent="0.3">
      <c r="B24" s="10" t="s">
        <v>129</v>
      </c>
      <c r="C24" s="2" t="s">
        <v>130</v>
      </c>
    </row>
    <row r="25" spans="2:6" ht="18" customHeight="1" x14ac:dyDescent="0.3">
      <c r="B25" s="10" t="s">
        <v>131</v>
      </c>
      <c r="C25" s="2" t="s">
        <v>132</v>
      </c>
    </row>
    <row r="26" spans="2:6" ht="18" customHeight="1" x14ac:dyDescent="0.3">
      <c r="B26" s="10" t="s">
        <v>133</v>
      </c>
      <c r="C26" s="2" t="s">
        <v>134</v>
      </c>
    </row>
  </sheetData>
  <mergeCells count="10">
    <mergeCell ref="B22:F22"/>
    <mergeCell ref="B4:F4"/>
    <mergeCell ref="B12:F12"/>
    <mergeCell ref="B6:F6"/>
    <mergeCell ref="B2:F3"/>
    <mergeCell ref="F7:F10"/>
    <mergeCell ref="C7:C10"/>
    <mergeCell ref="B7:B10"/>
    <mergeCell ref="D7:D10"/>
    <mergeCell ref="E7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33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ColWidth="8.6640625" defaultRowHeight="14.4" x14ac:dyDescent="0.3"/>
  <cols>
    <col min="1" max="1" width="3" customWidth="1"/>
    <col min="2" max="2" width="5" customWidth="1"/>
    <col min="3" max="3" width="38" customWidth="1"/>
    <col min="4" max="4" width="12" customWidth="1"/>
    <col min="5" max="5" width="14" customWidth="1"/>
    <col min="6" max="6" width="13" customWidth="1"/>
    <col min="7" max="7" width="12" customWidth="1"/>
    <col min="8" max="8" width="13" customWidth="1"/>
    <col min="9" max="9" width="26" customWidth="1"/>
    <col min="10" max="10" width="16" customWidth="1"/>
    <col min="11" max="11" width="26" customWidth="1"/>
    <col min="12" max="12" width="16" customWidth="1"/>
    <col min="13" max="14" width="18" customWidth="1"/>
    <col min="15" max="17" width="14" customWidth="1"/>
    <col min="18" max="18" width="22" customWidth="1"/>
  </cols>
  <sheetData>
    <row r="2" spans="2:18" ht="24" customHeight="1" x14ac:dyDescent="0.3">
      <c r="B2" s="122" t="s">
        <v>135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spans="2:18" ht="24" customHeight="1" x14ac:dyDescent="0.3">
      <c r="B3" s="112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</row>
    <row r="4" spans="2:18" ht="15.75" customHeight="1" x14ac:dyDescent="0.3">
      <c r="B4" s="118" t="s">
        <v>136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</row>
    <row r="5" spans="2:18" ht="13.5" customHeight="1" x14ac:dyDescent="0.3">
      <c r="D5" s="118" t="s">
        <v>137</v>
      </c>
      <c r="E5" s="108"/>
      <c r="F5" s="108"/>
      <c r="G5" s="108"/>
      <c r="H5" s="108"/>
      <c r="I5" s="124" t="s">
        <v>138</v>
      </c>
      <c r="J5" s="108"/>
      <c r="K5" s="108"/>
      <c r="L5" s="108"/>
      <c r="M5" s="121" t="s">
        <v>139</v>
      </c>
      <c r="N5" s="108"/>
      <c r="O5" s="108"/>
      <c r="P5" s="120" t="s">
        <v>140</v>
      </c>
      <c r="Q5" s="108"/>
      <c r="R5" s="108"/>
    </row>
    <row r="6" spans="2:18" ht="36" customHeight="1" x14ac:dyDescent="0.3">
      <c r="B6" s="11" t="s">
        <v>141</v>
      </c>
      <c r="C6" s="12" t="s">
        <v>142</v>
      </c>
      <c r="D6" s="13" t="s">
        <v>143</v>
      </c>
      <c r="E6" s="13" t="s">
        <v>144</v>
      </c>
      <c r="F6" s="13" t="s">
        <v>145</v>
      </c>
      <c r="G6" s="13" t="s">
        <v>146</v>
      </c>
      <c r="H6" s="13" t="s">
        <v>147</v>
      </c>
      <c r="I6" s="14" t="s">
        <v>148</v>
      </c>
      <c r="J6" s="14" t="s">
        <v>149</v>
      </c>
      <c r="K6" s="14" t="s">
        <v>150</v>
      </c>
      <c r="L6" s="14" t="s">
        <v>151</v>
      </c>
      <c r="M6" s="15" t="s">
        <v>152</v>
      </c>
      <c r="N6" s="15" t="s">
        <v>153</v>
      </c>
      <c r="O6" s="15" t="s">
        <v>154</v>
      </c>
      <c r="P6" s="16" t="s">
        <v>155</v>
      </c>
      <c r="Q6" s="16" t="s">
        <v>156</v>
      </c>
      <c r="R6" s="16" t="s">
        <v>157</v>
      </c>
    </row>
    <row r="7" spans="2:18" ht="21.75" customHeight="1" x14ac:dyDescent="0.3">
      <c r="B7" s="17" t="s">
        <v>158</v>
      </c>
      <c r="C7" s="18" t="s">
        <v>159</v>
      </c>
      <c r="D7" s="19" t="s">
        <v>160</v>
      </c>
      <c r="E7" s="19" t="s">
        <v>160</v>
      </c>
      <c r="F7" s="20" t="s">
        <v>161</v>
      </c>
      <c r="G7" s="19" t="s">
        <v>160</v>
      </c>
      <c r="H7" s="19" t="s">
        <v>160</v>
      </c>
      <c r="I7" s="21" t="s">
        <v>162</v>
      </c>
      <c r="J7" s="22" t="s">
        <v>163</v>
      </c>
      <c r="K7" s="22" t="s">
        <v>164</v>
      </c>
      <c r="L7" s="22" t="s">
        <v>165</v>
      </c>
      <c r="M7" s="19" t="s">
        <v>160</v>
      </c>
      <c r="N7" s="20" t="s">
        <v>161</v>
      </c>
      <c r="O7" s="19" t="s">
        <v>160</v>
      </c>
      <c r="P7" s="19" t="s">
        <v>160</v>
      </c>
      <c r="Q7" s="19" t="s">
        <v>160</v>
      </c>
      <c r="R7" s="19" t="s">
        <v>160</v>
      </c>
    </row>
    <row r="8" spans="2:18" ht="21.75" customHeight="1" x14ac:dyDescent="0.3">
      <c r="B8" s="23" t="s">
        <v>166</v>
      </c>
      <c r="C8" s="18" t="s">
        <v>167</v>
      </c>
      <c r="D8" s="24" t="s">
        <v>160</v>
      </c>
      <c r="E8" s="24" t="s">
        <v>160</v>
      </c>
      <c r="F8" s="20" t="s">
        <v>161</v>
      </c>
      <c r="G8" s="24" t="s">
        <v>160</v>
      </c>
      <c r="H8" s="24" t="s">
        <v>160</v>
      </c>
      <c r="I8" s="21" t="s">
        <v>162</v>
      </c>
      <c r="J8" s="25" t="s">
        <v>163</v>
      </c>
      <c r="K8" s="25" t="s">
        <v>164</v>
      </c>
      <c r="L8" s="25" t="s">
        <v>168</v>
      </c>
      <c r="M8" s="24" t="s">
        <v>160</v>
      </c>
      <c r="N8" s="20" t="s">
        <v>161</v>
      </c>
      <c r="O8" s="24" t="s">
        <v>160</v>
      </c>
      <c r="P8" s="24" t="s">
        <v>160</v>
      </c>
      <c r="Q8" s="24" t="s">
        <v>160</v>
      </c>
      <c r="R8" s="24" t="s">
        <v>160</v>
      </c>
    </row>
    <row r="9" spans="2:18" ht="21.75" customHeight="1" x14ac:dyDescent="0.3">
      <c r="B9" s="17" t="s">
        <v>169</v>
      </c>
      <c r="C9" s="18" t="s">
        <v>170</v>
      </c>
      <c r="D9" s="19" t="s">
        <v>160</v>
      </c>
      <c r="E9" s="19" t="s">
        <v>160</v>
      </c>
      <c r="F9" s="20" t="s">
        <v>161</v>
      </c>
      <c r="G9" s="26" t="s">
        <v>76</v>
      </c>
      <c r="H9" s="19" t="s">
        <v>160</v>
      </c>
      <c r="I9" s="21" t="s">
        <v>162</v>
      </c>
      <c r="J9" s="22" t="s">
        <v>163</v>
      </c>
      <c r="K9" s="22" t="s">
        <v>164</v>
      </c>
      <c r="L9" s="22" t="s">
        <v>168</v>
      </c>
      <c r="M9" s="20" t="s">
        <v>161</v>
      </c>
      <c r="N9" s="20" t="s">
        <v>161</v>
      </c>
      <c r="O9" s="19" t="s">
        <v>160</v>
      </c>
      <c r="P9" s="19" t="s">
        <v>160</v>
      </c>
      <c r="Q9" s="19" t="s">
        <v>160</v>
      </c>
      <c r="R9" s="19" t="s">
        <v>160</v>
      </c>
    </row>
    <row r="10" spans="2:18" ht="21.75" customHeight="1" x14ac:dyDescent="0.3">
      <c r="B10" s="23" t="s">
        <v>171</v>
      </c>
      <c r="C10" s="18" t="s">
        <v>172</v>
      </c>
      <c r="D10" s="24" t="s">
        <v>160</v>
      </c>
      <c r="E10" s="24" t="s">
        <v>160</v>
      </c>
      <c r="F10" s="20" t="s">
        <v>161</v>
      </c>
      <c r="G10" s="26" t="s">
        <v>76</v>
      </c>
      <c r="H10" s="24" t="s">
        <v>160</v>
      </c>
      <c r="I10" s="27" t="s">
        <v>173</v>
      </c>
      <c r="J10" s="25" t="s">
        <v>174</v>
      </c>
      <c r="K10" s="25" t="s">
        <v>175</v>
      </c>
      <c r="L10" s="25" t="s">
        <v>168</v>
      </c>
      <c r="M10" s="20" t="s">
        <v>161</v>
      </c>
      <c r="N10" s="24" t="s">
        <v>160</v>
      </c>
      <c r="O10" s="24" t="s">
        <v>160</v>
      </c>
      <c r="P10" s="24" t="s">
        <v>160</v>
      </c>
      <c r="Q10" s="28" t="s">
        <v>76</v>
      </c>
      <c r="R10" s="24" t="s">
        <v>160</v>
      </c>
    </row>
    <row r="11" spans="2:18" ht="21.75" customHeight="1" x14ac:dyDescent="0.3">
      <c r="B11" s="17" t="s">
        <v>176</v>
      </c>
      <c r="C11" s="18" t="s">
        <v>177</v>
      </c>
      <c r="D11" s="19" t="s">
        <v>160</v>
      </c>
      <c r="E11" s="19" t="s">
        <v>160</v>
      </c>
      <c r="F11" s="20" t="s">
        <v>161</v>
      </c>
      <c r="G11" s="26" t="s">
        <v>76</v>
      </c>
      <c r="H11" s="19" t="s">
        <v>160</v>
      </c>
      <c r="I11" s="27" t="s">
        <v>173</v>
      </c>
      <c r="J11" s="22" t="s">
        <v>174</v>
      </c>
      <c r="K11" s="22" t="s">
        <v>175</v>
      </c>
      <c r="L11" s="22" t="s">
        <v>168</v>
      </c>
      <c r="M11" s="20" t="s">
        <v>161</v>
      </c>
      <c r="N11" s="19" t="s">
        <v>160</v>
      </c>
      <c r="O11" s="19" t="s">
        <v>160</v>
      </c>
      <c r="P11" s="19" t="s">
        <v>160</v>
      </c>
      <c r="Q11" s="28" t="s">
        <v>76</v>
      </c>
      <c r="R11" s="19" t="s">
        <v>160</v>
      </c>
    </row>
    <row r="12" spans="2:18" ht="21.75" customHeight="1" x14ac:dyDescent="0.3">
      <c r="B12" s="23" t="s">
        <v>178</v>
      </c>
      <c r="C12" s="18" t="s">
        <v>179</v>
      </c>
      <c r="D12" s="24" t="s">
        <v>160</v>
      </c>
      <c r="E12" s="24" t="s">
        <v>160</v>
      </c>
      <c r="F12" s="20" t="s">
        <v>161</v>
      </c>
      <c r="G12" s="24" t="s">
        <v>160</v>
      </c>
      <c r="H12" s="24" t="s">
        <v>160</v>
      </c>
      <c r="I12" s="21" t="s">
        <v>180</v>
      </c>
      <c r="J12" s="25" t="s">
        <v>174</v>
      </c>
      <c r="K12" s="25" t="s">
        <v>175</v>
      </c>
      <c r="L12" s="25" t="s">
        <v>181</v>
      </c>
      <c r="M12" s="20" t="s">
        <v>161</v>
      </c>
      <c r="N12" s="24" t="s">
        <v>160</v>
      </c>
      <c r="O12" s="24" t="s">
        <v>160</v>
      </c>
      <c r="P12" s="24" t="s">
        <v>160</v>
      </c>
      <c r="Q12" s="28" t="s">
        <v>76</v>
      </c>
      <c r="R12" s="24" t="s">
        <v>160</v>
      </c>
    </row>
    <row r="13" spans="2:18" ht="21.75" customHeight="1" x14ac:dyDescent="0.3">
      <c r="B13" s="17" t="s">
        <v>182</v>
      </c>
      <c r="C13" s="18" t="s">
        <v>183</v>
      </c>
      <c r="D13" s="19" t="s">
        <v>160</v>
      </c>
      <c r="E13" s="19" t="s">
        <v>160</v>
      </c>
      <c r="F13" s="20" t="s">
        <v>161</v>
      </c>
      <c r="G13" s="19" t="s">
        <v>160</v>
      </c>
      <c r="H13" s="19" t="s">
        <v>160</v>
      </c>
      <c r="I13" s="27" t="s">
        <v>184</v>
      </c>
      <c r="J13" s="22" t="s">
        <v>163</v>
      </c>
      <c r="K13" s="22" t="s">
        <v>175</v>
      </c>
      <c r="L13" s="22" t="s">
        <v>168</v>
      </c>
      <c r="M13" s="20" t="s">
        <v>161</v>
      </c>
      <c r="N13" s="20" t="s">
        <v>161</v>
      </c>
      <c r="O13" s="19" t="s">
        <v>160</v>
      </c>
      <c r="P13" s="19" t="s">
        <v>160</v>
      </c>
      <c r="Q13" s="28" t="s">
        <v>76</v>
      </c>
      <c r="R13" s="19" t="s">
        <v>160</v>
      </c>
    </row>
    <row r="14" spans="2:18" ht="21.75" customHeight="1" x14ac:dyDescent="0.3">
      <c r="B14" s="23" t="s">
        <v>185</v>
      </c>
      <c r="C14" s="18" t="s">
        <v>186</v>
      </c>
      <c r="D14" s="24" t="s">
        <v>160</v>
      </c>
      <c r="E14" s="24" t="s">
        <v>160</v>
      </c>
      <c r="F14" s="20" t="s">
        <v>161</v>
      </c>
      <c r="G14" s="26" t="s">
        <v>76</v>
      </c>
      <c r="H14" s="24" t="s">
        <v>160</v>
      </c>
      <c r="I14" s="27" t="s">
        <v>173</v>
      </c>
      <c r="J14" s="25" t="s">
        <v>163</v>
      </c>
      <c r="K14" s="25" t="s">
        <v>175</v>
      </c>
      <c r="L14" s="25" t="s">
        <v>168</v>
      </c>
      <c r="M14" s="24" t="s">
        <v>160</v>
      </c>
      <c r="N14" s="24" t="s">
        <v>160</v>
      </c>
      <c r="O14" s="24" t="s">
        <v>160</v>
      </c>
      <c r="P14" s="24" t="s">
        <v>160</v>
      </c>
      <c r="Q14" s="28" t="s">
        <v>76</v>
      </c>
      <c r="R14" s="24" t="s">
        <v>160</v>
      </c>
    </row>
    <row r="15" spans="2:18" ht="21.75" customHeight="1" x14ac:dyDescent="0.3">
      <c r="B15" s="17" t="s">
        <v>187</v>
      </c>
      <c r="C15" s="18" t="s">
        <v>188</v>
      </c>
      <c r="D15" s="26" t="s">
        <v>76</v>
      </c>
      <c r="E15" s="26" t="s">
        <v>76</v>
      </c>
      <c r="F15" s="19" t="s">
        <v>160</v>
      </c>
      <c r="G15" s="26" t="s">
        <v>76</v>
      </c>
      <c r="H15" s="19" t="s">
        <v>160</v>
      </c>
      <c r="I15" s="21" t="s">
        <v>189</v>
      </c>
      <c r="J15" s="22" t="s">
        <v>174</v>
      </c>
      <c r="K15" s="29" t="s">
        <v>160</v>
      </c>
      <c r="L15" s="22" t="s">
        <v>181</v>
      </c>
      <c r="M15" s="19" t="s">
        <v>160</v>
      </c>
      <c r="N15" s="19" t="s">
        <v>160</v>
      </c>
      <c r="O15" s="26" t="s">
        <v>76</v>
      </c>
      <c r="P15" s="19" t="s">
        <v>160</v>
      </c>
      <c r="Q15" s="28" t="s">
        <v>76</v>
      </c>
      <c r="R15" s="19" t="s">
        <v>160</v>
      </c>
    </row>
    <row r="16" spans="2:18" ht="21.75" customHeight="1" x14ac:dyDescent="0.3">
      <c r="B16" s="23" t="s">
        <v>81</v>
      </c>
      <c r="C16" s="18" t="s">
        <v>190</v>
      </c>
      <c r="D16" s="26" t="s">
        <v>76</v>
      </c>
      <c r="E16" s="26" t="s">
        <v>76</v>
      </c>
      <c r="F16" s="24" t="s">
        <v>160</v>
      </c>
      <c r="G16" s="26" t="s">
        <v>76</v>
      </c>
      <c r="H16" s="24" t="s">
        <v>160</v>
      </c>
      <c r="I16" s="21" t="s">
        <v>189</v>
      </c>
      <c r="J16" s="25" t="s">
        <v>174</v>
      </c>
      <c r="K16" s="30" t="s">
        <v>160</v>
      </c>
      <c r="L16" s="25" t="s">
        <v>191</v>
      </c>
      <c r="M16" s="24" t="s">
        <v>160</v>
      </c>
      <c r="N16" s="24" t="s">
        <v>160</v>
      </c>
      <c r="O16" s="26" t="s">
        <v>76</v>
      </c>
      <c r="P16" s="24" t="s">
        <v>160</v>
      </c>
      <c r="Q16" s="28" t="s">
        <v>76</v>
      </c>
      <c r="R16" s="24" t="s">
        <v>160</v>
      </c>
    </row>
    <row r="17" spans="2:18" ht="21.75" customHeight="1" x14ac:dyDescent="0.3">
      <c r="B17" s="17" t="s">
        <v>82</v>
      </c>
      <c r="C17" s="18" t="s">
        <v>192</v>
      </c>
      <c r="D17" s="26" t="s">
        <v>76</v>
      </c>
      <c r="E17" s="19" t="s">
        <v>160</v>
      </c>
      <c r="F17" s="19" t="s">
        <v>160</v>
      </c>
      <c r="G17" s="26" t="s">
        <v>76</v>
      </c>
      <c r="H17" s="19" t="s">
        <v>160</v>
      </c>
      <c r="I17" s="21" t="s">
        <v>189</v>
      </c>
      <c r="J17" s="29" t="s">
        <v>160</v>
      </c>
      <c r="K17" s="29" t="s">
        <v>160</v>
      </c>
      <c r="L17" s="22" t="s">
        <v>191</v>
      </c>
      <c r="M17" s="19" t="s">
        <v>160</v>
      </c>
      <c r="N17" s="19" t="s">
        <v>160</v>
      </c>
      <c r="O17" s="26" t="s">
        <v>76</v>
      </c>
      <c r="P17" s="19" t="s">
        <v>160</v>
      </c>
      <c r="Q17" s="28" t="s">
        <v>76</v>
      </c>
      <c r="R17" s="19" t="s">
        <v>160</v>
      </c>
    </row>
    <row r="18" spans="2:18" ht="21.75" customHeight="1" x14ac:dyDescent="0.3">
      <c r="B18" s="23" t="s">
        <v>83</v>
      </c>
      <c r="C18" s="18" t="s">
        <v>193</v>
      </c>
      <c r="D18" s="26" t="s">
        <v>76</v>
      </c>
      <c r="E18" s="26" t="s">
        <v>76</v>
      </c>
      <c r="F18" s="24" t="s">
        <v>160</v>
      </c>
      <c r="G18" s="26" t="s">
        <v>76</v>
      </c>
      <c r="H18" s="24" t="s">
        <v>160</v>
      </c>
      <c r="I18" s="21" t="s">
        <v>189</v>
      </c>
      <c r="J18" s="30" t="s">
        <v>160</v>
      </c>
      <c r="K18" s="30" t="s">
        <v>160</v>
      </c>
      <c r="L18" s="25" t="s">
        <v>191</v>
      </c>
      <c r="M18" s="24" t="s">
        <v>160</v>
      </c>
      <c r="N18" s="24" t="s">
        <v>160</v>
      </c>
      <c r="O18" s="26" t="s">
        <v>76</v>
      </c>
      <c r="P18" s="24" t="s">
        <v>160</v>
      </c>
      <c r="Q18" s="28" t="s">
        <v>76</v>
      </c>
      <c r="R18" s="24" t="s">
        <v>160</v>
      </c>
    </row>
    <row r="19" spans="2:18" ht="21.75" customHeight="1" x14ac:dyDescent="0.3">
      <c r="B19" s="17" t="s">
        <v>84</v>
      </c>
      <c r="C19" s="18" t="s">
        <v>194</v>
      </c>
      <c r="D19" s="26" t="s">
        <v>76</v>
      </c>
      <c r="E19" s="26" t="s">
        <v>76</v>
      </c>
      <c r="F19" s="19" t="s">
        <v>160</v>
      </c>
      <c r="G19" s="26" t="s">
        <v>76</v>
      </c>
      <c r="H19" s="19" t="s">
        <v>160</v>
      </c>
      <c r="I19" s="21" t="s">
        <v>180</v>
      </c>
      <c r="J19" s="29" t="s">
        <v>160</v>
      </c>
      <c r="K19" s="22" t="s">
        <v>175</v>
      </c>
      <c r="L19" s="22" t="s">
        <v>191</v>
      </c>
      <c r="M19" s="26" t="s">
        <v>76</v>
      </c>
      <c r="N19" s="19" t="s">
        <v>160</v>
      </c>
      <c r="O19" s="19" t="s">
        <v>160</v>
      </c>
      <c r="P19" s="19" t="s">
        <v>160</v>
      </c>
      <c r="Q19" s="28" t="s">
        <v>76</v>
      </c>
      <c r="R19" s="19" t="s">
        <v>160</v>
      </c>
    </row>
    <row r="20" spans="2:18" ht="21.75" customHeight="1" x14ac:dyDescent="0.3">
      <c r="B20" s="23" t="s">
        <v>85</v>
      </c>
      <c r="C20" s="18" t="s">
        <v>195</v>
      </c>
      <c r="D20" s="26" t="s">
        <v>76</v>
      </c>
      <c r="E20" s="26" t="s">
        <v>76</v>
      </c>
      <c r="F20" s="24" t="s">
        <v>160</v>
      </c>
      <c r="G20" s="26" t="s">
        <v>76</v>
      </c>
      <c r="H20" s="24" t="s">
        <v>160</v>
      </c>
      <c r="I20" s="27" t="s">
        <v>196</v>
      </c>
      <c r="J20" s="25" t="s">
        <v>174</v>
      </c>
      <c r="K20" s="30" t="s">
        <v>160</v>
      </c>
      <c r="L20" s="25" t="s">
        <v>197</v>
      </c>
      <c r="M20" s="24" t="s">
        <v>160</v>
      </c>
      <c r="N20" s="24" t="s">
        <v>160</v>
      </c>
      <c r="O20" s="24" t="s">
        <v>160</v>
      </c>
      <c r="P20" s="24" t="s">
        <v>160</v>
      </c>
      <c r="Q20" s="28" t="s">
        <v>76</v>
      </c>
      <c r="R20" s="24" t="s">
        <v>160</v>
      </c>
    </row>
    <row r="21" spans="2:18" ht="21.75" customHeight="1" x14ac:dyDescent="0.3">
      <c r="B21" s="17" t="s">
        <v>86</v>
      </c>
      <c r="C21" s="18" t="s">
        <v>198</v>
      </c>
      <c r="D21" s="26" t="s">
        <v>76</v>
      </c>
      <c r="E21" s="26" t="s">
        <v>76</v>
      </c>
      <c r="F21" s="19" t="s">
        <v>160</v>
      </c>
      <c r="G21" s="26" t="s">
        <v>76</v>
      </c>
      <c r="H21" s="19" t="s">
        <v>160</v>
      </c>
      <c r="I21" s="27" t="s">
        <v>199</v>
      </c>
      <c r="J21" s="29" t="s">
        <v>160</v>
      </c>
      <c r="K21" s="22" t="s">
        <v>175</v>
      </c>
      <c r="L21" s="22" t="s">
        <v>181</v>
      </c>
      <c r="M21" s="19" t="s">
        <v>160</v>
      </c>
      <c r="N21" s="19" t="s">
        <v>160</v>
      </c>
      <c r="O21" s="19" t="s">
        <v>160</v>
      </c>
      <c r="P21" s="28" t="s">
        <v>76</v>
      </c>
      <c r="Q21" s="28" t="s">
        <v>76</v>
      </c>
      <c r="R21" s="19" t="s">
        <v>160</v>
      </c>
    </row>
    <row r="22" spans="2:18" ht="21.75" customHeight="1" x14ac:dyDescent="0.3">
      <c r="B22" s="23" t="s">
        <v>88</v>
      </c>
      <c r="C22" s="18" t="s">
        <v>200</v>
      </c>
      <c r="D22" s="26" t="s">
        <v>76</v>
      </c>
      <c r="E22" s="26" t="s">
        <v>76</v>
      </c>
      <c r="F22" s="24" t="s">
        <v>160</v>
      </c>
      <c r="G22" s="26" t="s">
        <v>76</v>
      </c>
      <c r="H22" s="24" t="s">
        <v>160</v>
      </c>
      <c r="I22" s="21" t="s">
        <v>180</v>
      </c>
      <c r="J22" s="30" t="s">
        <v>160</v>
      </c>
      <c r="K22" s="25" t="s">
        <v>175</v>
      </c>
      <c r="L22" s="25" t="s">
        <v>197</v>
      </c>
      <c r="M22" s="26" t="s">
        <v>76</v>
      </c>
      <c r="N22" s="24" t="s">
        <v>160</v>
      </c>
      <c r="O22" s="24" t="s">
        <v>160</v>
      </c>
      <c r="P22" s="24" t="s">
        <v>160</v>
      </c>
      <c r="Q22" s="28" t="s">
        <v>76</v>
      </c>
      <c r="R22" s="24" t="s">
        <v>160</v>
      </c>
    </row>
    <row r="23" spans="2:18" ht="21.75" customHeight="1" x14ac:dyDescent="0.3">
      <c r="B23" s="17" t="s">
        <v>89</v>
      </c>
      <c r="C23" s="18" t="s">
        <v>201</v>
      </c>
      <c r="D23" s="26" t="s">
        <v>76</v>
      </c>
      <c r="E23" s="26" t="s">
        <v>76</v>
      </c>
      <c r="F23" s="19" t="s">
        <v>160</v>
      </c>
      <c r="G23" s="26" t="s">
        <v>76</v>
      </c>
      <c r="H23" s="19" t="s">
        <v>160</v>
      </c>
      <c r="I23" s="21" t="s">
        <v>189</v>
      </c>
      <c r="J23" s="22" t="s">
        <v>202</v>
      </c>
      <c r="K23" s="29" t="s">
        <v>160</v>
      </c>
      <c r="L23" s="22" t="s">
        <v>197</v>
      </c>
      <c r="M23" s="19" t="s">
        <v>160</v>
      </c>
      <c r="N23" s="19" t="s">
        <v>160</v>
      </c>
      <c r="O23" s="26" t="s">
        <v>76</v>
      </c>
      <c r="P23" s="19" t="s">
        <v>160</v>
      </c>
      <c r="Q23" s="28" t="s">
        <v>76</v>
      </c>
      <c r="R23" s="19" t="s">
        <v>160</v>
      </c>
    </row>
    <row r="24" spans="2:18" ht="21.75" customHeight="1" x14ac:dyDescent="0.3">
      <c r="B24" s="23" t="s">
        <v>90</v>
      </c>
      <c r="C24" s="18" t="s">
        <v>203</v>
      </c>
      <c r="D24" s="26" t="s">
        <v>76</v>
      </c>
      <c r="E24" s="26" t="s">
        <v>76</v>
      </c>
      <c r="F24" s="24" t="s">
        <v>160</v>
      </c>
      <c r="G24" s="26" t="s">
        <v>76</v>
      </c>
      <c r="H24" s="24" t="s">
        <v>160</v>
      </c>
      <c r="I24" s="21" t="s">
        <v>204</v>
      </c>
      <c r="J24" s="25" t="s">
        <v>174</v>
      </c>
      <c r="K24" s="30" t="s">
        <v>160</v>
      </c>
      <c r="L24" s="25" t="s">
        <v>197</v>
      </c>
      <c r="M24" s="24" t="s">
        <v>160</v>
      </c>
      <c r="N24" s="24" t="s">
        <v>160</v>
      </c>
      <c r="O24" s="24" t="s">
        <v>160</v>
      </c>
      <c r="P24" s="28" t="s">
        <v>76</v>
      </c>
      <c r="Q24" s="28" t="s">
        <v>76</v>
      </c>
      <c r="R24" s="24" t="s">
        <v>160</v>
      </c>
    </row>
    <row r="25" spans="2:18" ht="21.75" customHeight="1" x14ac:dyDescent="0.3">
      <c r="B25" s="17" t="s">
        <v>91</v>
      </c>
      <c r="C25" s="18" t="s">
        <v>205</v>
      </c>
      <c r="D25" s="26" t="s">
        <v>76</v>
      </c>
      <c r="E25" s="26" t="s">
        <v>76</v>
      </c>
      <c r="F25" s="19" t="s">
        <v>160</v>
      </c>
      <c r="G25" s="26" t="s">
        <v>76</v>
      </c>
      <c r="H25" s="19" t="s">
        <v>160</v>
      </c>
      <c r="I25" s="21" t="s">
        <v>180</v>
      </c>
      <c r="J25" s="22" t="s">
        <v>206</v>
      </c>
      <c r="K25" s="29" t="s">
        <v>160</v>
      </c>
      <c r="L25" s="22" t="s">
        <v>191</v>
      </c>
      <c r="M25" s="26" t="s">
        <v>76</v>
      </c>
      <c r="N25" s="19" t="s">
        <v>160</v>
      </c>
      <c r="O25" s="19" t="s">
        <v>160</v>
      </c>
      <c r="P25" s="19" t="s">
        <v>160</v>
      </c>
      <c r="Q25" s="28" t="s">
        <v>76</v>
      </c>
      <c r="R25" s="19" t="s">
        <v>160</v>
      </c>
    </row>
    <row r="26" spans="2:18" ht="21.75" customHeight="1" x14ac:dyDescent="0.3">
      <c r="B26" s="23" t="s">
        <v>92</v>
      </c>
      <c r="C26" s="18" t="s">
        <v>207</v>
      </c>
      <c r="D26" s="26" t="s">
        <v>76</v>
      </c>
      <c r="E26" s="24" t="s">
        <v>160</v>
      </c>
      <c r="F26" s="24" t="s">
        <v>160</v>
      </c>
      <c r="G26" s="26" t="s">
        <v>76</v>
      </c>
      <c r="H26" s="24" t="s">
        <v>160</v>
      </c>
      <c r="I26" s="27" t="s">
        <v>196</v>
      </c>
      <c r="J26" s="25" t="s">
        <v>206</v>
      </c>
      <c r="K26" s="30" t="s">
        <v>160</v>
      </c>
      <c r="L26" s="25" t="s">
        <v>181</v>
      </c>
      <c r="M26" s="24" t="s">
        <v>160</v>
      </c>
      <c r="N26" s="24" t="s">
        <v>160</v>
      </c>
      <c r="O26" s="24" t="s">
        <v>160</v>
      </c>
      <c r="P26" s="24" t="s">
        <v>160</v>
      </c>
      <c r="Q26" s="28" t="s">
        <v>76</v>
      </c>
      <c r="R26" s="24" t="s">
        <v>160</v>
      </c>
    </row>
    <row r="27" spans="2:18" ht="21.75" customHeight="1" x14ac:dyDescent="0.3">
      <c r="B27" s="17" t="s">
        <v>93</v>
      </c>
      <c r="C27" s="18" t="s">
        <v>208</v>
      </c>
      <c r="D27" s="26" t="s">
        <v>76</v>
      </c>
      <c r="E27" s="26" t="s">
        <v>76</v>
      </c>
      <c r="F27" s="19" t="s">
        <v>160</v>
      </c>
      <c r="G27" s="26" t="s">
        <v>76</v>
      </c>
      <c r="H27" s="19" t="s">
        <v>160</v>
      </c>
      <c r="I27" s="27" t="s">
        <v>196</v>
      </c>
      <c r="J27" s="29" t="s">
        <v>160</v>
      </c>
      <c r="K27" s="29" t="s">
        <v>160</v>
      </c>
      <c r="L27" s="22" t="s">
        <v>181</v>
      </c>
      <c r="M27" s="19" t="s">
        <v>160</v>
      </c>
      <c r="N27" s="19" t="s">
        <v>160</v>
      </c>
      <c r="O27" s="19" t="s">
        <v>160</v>
      </c>
      <c r="P27" s="19" t="s">
        <v>160</v>
      </c>
      <c r="Q27" s="28" t="s">
        <v>76</v>
      </c>
      <c r="R27" s="19" t="s">
        <v>160</v>
      </c>
    </row>
    <row r="28" spans="2:18" ht="21.75" customHeight="1" x14ac:dyDescent="0.3">
      <c r="B28" s="23" t="s">
        <v>94</v>
      </c>
      <c r="C28" s="18" t="s">
        <v>209</v>
      </c>
      <c r="D28" s="26" t="s">
        <v>76</v>
      </c>
      <c r="E28" s="24" t="s">
        <v>160</v>
      </c>
      <c r="F28" s="24" t="s">
        <v>160</v>
      </c>
      <c r="G28" s="26" t="s">
        <v>76</v>
      </c>
      <c r="H28" s="24" t="s">
        <v>160</v>
      </c>
      <c r="I28" s="27" t="s">
        <v>196</v>
      </c>
      <c r="J28" s="25" t="s">
        <v>210</v>
      </c>
      <c r="K28" s="30" t="s">
        <v>160</v>
      </c>
      <c r="L28" s="25" t="s">
        <v>211</v>
      </c>
      <c r="M28" s="24" t="s">
        <v>160</v>
      </c>
      <c r="N28" s="24" t="s">
        <v>160</v>
      </c>
      <c r="O28" s="24" t="s">
        <v>160</v>
      </c>
      <c r="P28" s="28" t="s">
        <v>76</v>
      </c>
      <c r="Q28" s="28" t="s">
        <v>76</v>
      </c>
      <c r="R28" s="24" t="s">
        <v>160</v>
      </c>
    </row>
    <row r="29" spans="2:18" ht="21.75" customHeight="1" x14ac:dyDescent="0.3">
      <c r="B29" s="17" t="s">
        <v>95</v>
      </c>
      <c r="C29" s="18" t="s">
        <v>212</v>
      </c>
      <c r="D29" s="26" t="s">
        <v>76</v>
      </c>
      <c r="E29" s="26" t="s">
        <v>76</v>
      </c>
      <c r="F29" s="19" t="s">
        <v>160</v>
      </c>
      <c r="G29" s="26" t="s">
        <v>76</v>
      </c>
      <c r="H29" s="19" t="s">
        <v>160</v>
      </c>
      <c r="I29" s="27" t="s">
        <v>196</v>
      </c>
      <c r="J29" s="29" t="s">
        <v>160</v>
      </c>
      <c r="K29" s="29" t="s">
        <v>160</v>
      </c>
      <c r="L29" s="22" t="s">
        <v>181</v>
      </c>
      <c r="M29" s="19" t="s">
        <v>160</v>
      </c>
      <c r="N29" s="19" t="s">
        <v>160</v>
      </c>
      <c r="O29" s="19" t="s">
        <v>160</v>
      </c>
      <c r="P29" s="19" t="s">
        <v>160</v>
      </c>
      <c r="Q29" s="28" t="s">
        <v>76</v>
      </c>
      <c r="R29" s="19" t="s">
        <v>160</v>
      </c>
    </row>
    <row r="30" spans="2:18" ht="21.75" customHeight="1" x14ac:dyDescent="0.3">
      <c r="B30" s="23" t="s">
        <v>96</v>
      </c>
      <c r="C30" s="18" t="s">
        <v>213</v>
      </c>
      <c r="D30" s="26" t="s">
        <v>76</v>
      </c>
      <c r="E30" s="26" t="s">
        <v>76</v>
      </c>
      <c r="F30" s="24" t="s">
        <v>160</v>
      </c>
      <c r="G30" s="26" t="s">
        <v>76</v>
      </c>
      <c r="H30" s="24" t="s">
        <v>160</v>
      </c>
      <c r="I30" s="27" t="s">
        <v>196</v>
      </c>
      <c r="J30" s="30" t="s">
        <v>160</v>
      </c>
      <c r="K30" s="30" t="s">
        <v>160</v>
      </c>
      <c r="L30" s="25" t="s">
        <v>191</v>
      </c>
      <c r="M30" s="24" t="s">
        <v>160</v>
      </c>
      <c r="N30" s="24" t="s">
        <v>160</v>
      </c>
      <c r="O30" s="24" t="s">
        <v>160</v>
      </c>
      <c r="P30" s="24" t="s">
        <v>160</v>
      </c>
      <c r="Q30" s="28" t="s">
        <v>76</v>
      </c>
      <c r="R30" s="24" t="s">
        <v>160</v>
      </c>
    </row>
    <row r="31" spans="2:18" ht="21.75" customHeight="1" x14ac:dyDescent="0.3">
      <c r="B31" s="17" t="s">
        <v>97</v>
      </c>
      <c r="C31" s="18" t="s">
        <v>214</v>
      </c>
      <c r="D31" s="26" t="s">
        <v>76</v>
      </c>
      <c r="E31" s="19" t="s">
        <v>160</v>
      </c>
      <c r="F31" s="19" t="s">
        <v>160</v>
      </c>
      <c r="G31" s="26" t="s">
        <v>76</v>
      </c>
      <c r="H31" s="19" t="s">
        <v>160</v>
      </c>
      <c r="I31" s="21" t="s">
        <v>180</v>
      </c>
      <c r="J31" s="29" t="s">
        <v>160</v>
      </c>
      <c r="K31" s="29" t="s">
        <v>160</v>
      </c>
      <c r="L31" s="22" t="s">
        <v>191</v>
      </c>
      <c r="M31" s="26" t="s">
        <v>76</v>
      </c>
      <c r="N31" s="19" t="s">
        <v>160</v>
      </c>
      <c r="O31" s="19" t="s">
        <v>160</v>
      </c>
      <c r="P31" s="19" t="s">
        <v>160</v>
      </c>
      <c r="Q31" s="28" t="s">
        <v>76</v>
      </c>
      <c r="R31" s="20" t="s">
        <v>161</v>
      </c>
    </row>
    <row r="32" spans="2:18" ht="18" customHeight="1" x14ac:dyDescent="0.3">
      <c r="B32" s="123" t="s">
        <v>215</v>
      </c>
      <c r="C32" s="108"/>
      <c r="D32" s="31">
        <f>COUNTIF(D7:D31,"✓")</f>
        <v>0</v>
      </c>
      <c r="E32" s="31">
        <f>COUNTIF(E7:E31,"✓")</f>
        <v>0</v>
      </c>
      <c r="F32" s="31">
        <f>COUNTIF(F7:F31,"✓")</f>
        <v>8</v>
      </c>
      <c r="G32" s="31">
        <f>COUNTIF(G7:G31,"✓")</f>
        <v>0</v>
      </c>
      <c r="H32" s="31">
        <f>COUNTIF(H7:H31,"✓")</f>
        <v>0</v>
      </c>
      <c r="M32" s="31">
        <f>COUNTIF(M7:M31,"✓")</f>
        <v>5</v>
      </c>
      <c r="N32" s="31">
        <f>COUNTIF(N7:N31,"✓")</f>
        <v>4</v>
      </c>
      <c r="O32" s="31">
        <f>COUNTIF(O7:O31,"✓")</f>
        <v>0</v>
      </c>
      <c r="P32" s="31">
        <f>COUNTIF(P7:P31,"✓")</f>
        <v>0</v>
      </c>
      <c r="Q32" s="31">
        <f>COUNTIF(Q7:Q31,"✓")</f>
        <v>0</v>
      </c>
    </row>
    <row r="33" spans="2:9" ht="18" customHeight="1" x14ac:dyDescent="0.3">
      <c r="B33" s="119" t="s">
        <v>216</v>
      </c>
      <c r="C33" s="108"/>
      <c r="I33" s="32">
        <f>COUNTIF(I7:I31,"*??*")+COUNTIF(I7:I31,"TBD")</f>
        <v>31</v>
      </c>
    </row>
  </sheetData>
  <mergeCells count="8">
    <mergeCell ref="B2:R3"/>
    <mergeCell ref="B32:C32"/>
    <mergeCell ref="I5:L5"/>
    <mergeCell ref="B4:R4"/>
    <mergeCell ref="B33:C33"/>
    <mergeCell ref="P5:R5"/>
    <mergeCell ref="M5:O5"/>
    <mergeCell ref="D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30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3" customWidth="1"/>
    <col min="2" max="2" width="5" customWidth="1"/>
    <col min="3" max="3" width="36" customWidth="1"/>
    <col min="4" max="4" width="20" customWidth="1"/>
    <col min="5" max="5" width="22" customWidth="1"/>
    <col min="6" max="6" width="24" customWidth="1"/>
    <col min="7" max="8" width="20" customWidth="1"/>
    <col min="9" max="10" width="22" customWidth="1"/>
    <col min="11" max="11" width="20" customWidth="1"/>
    <col min="12" max="14" width="22" customWidth="1"/>
  </cols>
  <sheetData>
    <row r="2" spans="2:14" ht="24" customHeight="1" x14ac:dyDescent="0.3">
      <c r="B2" s="122" t="s">
        <v>217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2:14" ht="24" customHeight="1" x14ac:dyDescent="0.3">
      <c r="B3" s="112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2:14" ht="13.5" customHeight="1" x14ac:dyDescent="0.3">
      <c r="D4" s="128" t="s">
        <v>218</v>
      </c>
      <c r="E4" s="108"/>
      <c r="F4" s="127" t="s">
        <v>219</v>
      </c>
      <c r="G4" s="108"/>
      <c r="H4" s="108"/>
      <c r="I4" s="125" t="s">
        <v>220</v>
      </c>
      <c r="J4" s="108"/>
      <c r="K4" s="33" t="s">
        <v>221</v>
      </c>
      <c r="L4" s="126" t="s">
        <v>222</v>
      </c>
      <c r="M4" s="108"/>
      <c r="N4" s="34" t="s">
        <v>223</v>
      </c>
    </row>
    <row r="5" spans="2:14" ht="33.75" customHeight="1" x14ac:dyDescent="0.3">
      <c r="B5" s="11" t="s">
        <v>141</v>
      </c>
      <c r="C5" s="12" t="s">
        <v>142</v>
      </c>
      <c r="D5" s="13" t="s">
        <v>224</v>
      </c>
      <c r="E5" s="13" t="s">
        <v>149</v>
      </c>
      <c r="F5" s="14" t="s">
        <v>225</v>
      </c>
      <c r="G5" s="14" t="s">
        <v>150</v>
      </c>
      <c r="H5" s="14" t="s">
        <v>151</v>
      </c>
      <c r="I5" s="35" t="s">
        <v>226</v>
      </c>
      <c r="J5" s="35" t="s">
        <v>227</v>
      </c>
      <c r="K5" s="15" t="s">
        <v>228</v>
      </c>
      <c r="L5" s="36" t="s">
        <v>229</v>
      </c>
      <c r="M5" s="36" t="s">
        <v>230</v>
      </c>
      <c r="N5" s="16" t="s">
        <v>231</v>
      </c>
    </row>
    <row r="6" spans="2:14" ht="24" customHeight="1" x14ac:dyDescent="0.3">
      <c r="B6" s="17" t="s">
        <v>158</v>
      </c>
      <c r="C6" s="18" t="s">
        <v>159</v>
      </c>
      <c r="D6" s="22" t="s">
        <v>232</v>
      </c>
      <c r="E6" s="22" t="s">
        <v>163</v>
      </c>
      <c r="F6" s="21" t="s">
        <v>162</v>
      </c>
      <c r="G6" s="22" t="s">
        <v>164</v>
      </c>
      <c r="H6" s="22" t="s">
        <v>165</v>
      </c>
      <c r="I6" s="37" t="s">
        <v>233</v>
      </c>
      <c r="J6" s="37" t="s">
        <v>234</v>
      </c>
      <c r="K6" s="38" t="s">
        <v>235</v>
      </c>
      <c r="L6" s="39" t="s">
        <v>236</v>
      </c>
      <c r="M6" s="39" t="s">
        <v>237</v>
      </c>
      <c r="N6" s="40" t="s">
        <v>238</v>
      </c>
    </row>
    <row r="7" spans="2:14" ht="24" customHeight="1" x14ac:dyDescent="0.3">
      <c r="B7" s="23" t="s">
        <v>166</v>
      </c>
      <c r="C7" s="18" t="s">
        <v>167</v>
      </c>
      <c r="D7" s="25" t="s">
        <v>232</v>
      </c>
      <c r="E7" s="25" t="s">
        <v>163</v>
      </c>
      <c r="F7" s="21" t="s">
        <v>162</v>
      </c>
      <c r="G7" s="25" t="s">
        <v>164</v>
      </c>
      <c r="H7" s="25" t="s">
        <v>168</v>
      </c>
      <c r="I7" s="37" t="s">
        <v>233</v>
      </c>
      <c r="J7" s="37" t="s">
        <v>234</v>
      </c>
      <c r="K7" s="38" t="s">
        <v>235</v>
      </c>
      <c r="L7" s="39" t="s">
        <v>236</v>
      </c>
      <c r="M7" s="39" t="s">
        <v>237</v>
      </c>
      <c r="N7" s="41" t="s">
        <v>238</v>
      </c>
    </row>
    <row r="8" spans="2:14" ht="24" customHeight="1" x14ac:dyDescent="0.3">
      <c r="B8" s="17" t="s">
        <v>169</v>
      </c>
      <c r="C8" s="18" t="s">
        <v>170</v>
      </c>
      <c r="D8" s="22" t="s">
        <v>239</v>
      </c>
      <c r="E8" s="22" t="s">
        <v>163</v>
      </c>
      <c r="F8" s="21" t="s">
        <v>162</v>
      </c>
      <c r="G8" s="22" t="s">
        <v>164</v>
      </c>
      <c r="H8" s="22" t="s">
        <v>168</v>
      </c>
      <c r="I8" s="37" t="s">
        <v>233</v>
      </c>
      <c r="J8" s="37" t="s">
        <v>234</v>
      </c>
      <c r="K8" s="38" t="s">
        <v>235</v>
      </c>
      <c r="L8" s="39" t="s">
        <v>240</v>
      </c>
      <c r="M8" s="39" t="s">
        <v>237</v>
      </c>
      <c r="N8" s="40" t="s">
        <v>238</v>
      </c>
    </row>
    <row r="9" spans="2:14" ht="24" customHeight="1" x14ac:dyDescent="0.3">
      <c r="B9" s="23" t="s">
        <v>171</v>
      </c>
      <c r="C9" s="18" t="s">
        <v>172</v>
      </c>
      <c r="D9" s="25" t="s">
        <v>239</v>
      </c>
      <c r="E9" s="25" t="s">
        <v>174</v>
      </c>
      <c r="F9" s="27" t="s">
        <v>173</v>
      </c>
      <c r="G9" s="25" t="s">
        <v>175</v>
      </c>
      <c r="H9" s="25" t="s">
        <v>168</v>
      </c>
      <c r="I9" s="37" t="s">
        <v>233</v>
      </c>
      <c r="J9" s="37" t="s">
        <v>234</v>
      </c>
      <c r="K9" s="38" t="s">
        <v>235</v>
      </c>
      <c r="L9" s="39" t="s">
        <v>240</v>
      </c>
      <c r="M9" s="39" t="s">
        <v>241</v>
      </c>
      <c r="N9" s="41" t="s">
        <v>238</v>
      </c>
    </row>
    <row r="10" spans="2:14" ht="24" customHeight="1" x14ac:dyDescent="0.3">
      <c r="B10" s="17" t="s">
        <v>176</v>
      </c>
      <c r="C10" s="18" t="s">
        <v>177</v>
      </c>
      <c r="D10" s="22" t="s">
        <v>239</v>
      </c>
      <c r="E10" s="22" t="s">
        <v>174</v>
      </c>
      <c r="F10" s="27" t="s">
        <v>173</v>
      </c>
      <c r="G10" s="22" t="s">
        <v>175</v>
      </c>
      <c r="H10" s="22" t="s">
        <v>168</v>
      </c>
      <c r="I10" s="37" t="s">
        <v>233</v>
      </c>
      <c r="J10" s="37" t="s">
        <v>234</v>
      </c>
      <c r="K10" s="38" t="s">
        <v>235</v>
      </c>
      <c r="L10" s="39" t="s">
        <v>240</v>
      </c>
      <c r="M10" s="39" t="s">
        <v>241</v>
      </c>
      <c r="N10" s="40" t="s">
        <v>238</v>
      </c>
    </row>
    <row r="11" spans="2:14" ht="24" customHeight="1" x14ac:dyDescent="0.3">
      <c r="B11" s="23" t="s">
        <v>178</v>
      </c>
      <c r="C11" s="18" t="s">
        <v>179</v>
      </c>
      <c r="D11" s="25" t="s">
        <v>232</v>
      </c>
      <c r="E11" s="25" t="s">
        <v>174</v>
      </c>
      <c r="F11" s="21" t="s">
        <v>180</v>
      </c>
      <c r="G11" s="25" t="s">
        <v>175</v>
      </c>
      <c r="H11" s="25" t="s">
        <v>181</v>
      </c>
      <c r="I11" s="37" t="s">
        <v>233</v>
      </c>
      <c r="J11" s="37" t="s">
        <v>234</v>
      </c>
      <c r="K11" s="38" t="s">
        <v>235</v>
      </c>
      <c r="L11" s="39" t="s">
        <v>240</v>
      </c>
      <c r="M11" s="39" t="s">
        <v>241</v>
      </c>
      <c r="N11" s="41" t="s">
        <v>238</v>
      </c>
    </row>
    <row r="12" spans="2:14" ht="24" customHeight="1" x14ac:dyDescent="0.3">
      <c r="B12" s="17" t="s">
        <v>182</v>
      </c>
      <c r="C12" s="18" t="s">
        <v>183</v>
      </c>
      <c r="D12" s="22" t="s">
        <v>232</v>
      </c>
      <c r="E12" s="22" t="s">
        <v>163</v>
      </c>
      <c r="F12" s="27" t="s">
        <v>184</v>
      </c>
      <c r="G12" s="22" t="s">
        <v>175</v>
      </c>
      <c r="H12" s="22" t="s">
        <v>168</v>
      </c>
      <c r="I12" s="37" t="s">
        <v>233</v>
      </c>
      <c r="J12" s="37" t="s">
        <v>234</v>
      </c>
      <c r="K12" s="38" t="s">
        <v>235</v>
      </c>
      <c r="L12" s="39" t="s">
        <v>240</v>
      </c>
      <c r="M12" s="39" t="s">
        <v>237</v>
      </c>
      <c r="N12" s="40" t="s">
        <v>238</v>
      </c>
    </row>
    <row r="13" spans="2:14" ht="24" customHeight="1" x14ac:dyDescent="0.3">
      <c r="B13" s="23" t="s">
        <v>185</v>
      </c>
      <c r="C13" s="18" t="s">
        <v>186</v>
      </c>
      <c r="D13" s="25" t="s">
        <v>239</v>
      </c>
      <c r="E13" s="25" t="s">
        <v>163</v>
      </c>
      <c r="F13" s="27" t="s">
        <v>173</v>
      </c>
      <c r="G13" s="25" t="s">
        <v>175</v>
      </c>
      <c r="H13" s="25" t="s">
        <v>168</v>
      </c>
      <c r="I13" s="37" t="s">
        <v>233</v>
      </c>
      <c r="J13" s="37" t="s">
        <v>234</v>
      </c>
      <c r="K13" s="38" t="s">
        <v>235</v>
      </c>
      <c r="L13" s="39" t="s">
        <v>236</v>
      </c>
      <c r="M13" s="39" t="s">
        <v>241</v>
      </c>
      <c r="N13" s="41" t="s">
        <v>238</v>
      </c>
    </row>
    <row r="14" spans="2:14" ht="24" customHeight="1" x14ac:dyDescent="0.3">
      <c r="B14" s="17" t="s">
        <v>187</v>
      </c>
      <c r="C14" s="18" t="s">
        <v>188</v>
      </c>
      <c r="D14" s="22" t="s">
        <v>242</v>
      </c>
      <c r="E14" s="22" t="s">
        <v>174</v>
      </c>
      <c r="F14" s="21" t="s">
        <v>189</v>
      </c>
      <c r="G14" s="29" t="s">
        <v>160</v>
      </c>
      <c r="H14" s="22" t="s">
        <v>181</v>
      </c>
      <c r="I14" s="37" t="s">
        <v>233</v>
      </c>
      <c r="J14" s="37" t="s">
        <v>234</v>
      </c>
      <c r="K14" s="38" t="s">
        <v>235</v>
      </c>
      <c r="L14" s="39" t="s">
        <v>236</v>
      </c>
      <c r="M14" s="39" t="s">
        <v>241</v>
      </c>
      <c r="N14" s="40" t="s">
        <v>238</v>
      </c>
    </row>
    <row r="15" spans="2:14" ht="24" customHeight="1" x14ac:dyDescent="0.3">
      <c r="B15" s="23" t="s">
        <v>81</v>
      </c>
      <c r="C15" s="18" t="s">
        <v>190</v>
      </c>
      <c r="D15" s="25" t="s">
        <v>242</v>
      </c>
      <c r="E15" s="25" t="s">
        <v>174</v>
      </c>
      <c r="F15" s="21" t="s">
        <v>189</v>
      </c>
      <c r="G15" s="30" t="s">
        <v>160</v>
      </c>
      <c r="H15" s="25" t="s">
        <v>191</v>
      </c>
      <c r="I15" s="37" t="s">
        <v>233</v>
      </c>
      <c r="J15" s="37" t="s">
        <v>234</v>
      </c>
      <c r="K15" s="38" t="s">
        <v>235</v>
      </c>
      <c r="L15" s="39" t="s">
        <v>236</v>
      </c>
      <c r="M15" s="39" t="s">
        <v>241</v>
      </c>
      <c r="N15" s="41" t="s">
        <v>238</v>
      </c>
    </row>
    <row r="16" spans="2:14" ht="24" customHeight="1" x14ac:dyDescent="0.3">
      <c r="B16" s="17" t="s">
        <v>82</v>
      </c>
      <c r="C16" s="18" t="s">
        <v>192</v>
      </c>
      <c r="D16" s="22" t="s">
        <v>243</v>
      </c>
      <c r="E16" s="29" t="s">
        <v>160</v>
      </c>
      <c r="F16" s="21" t="s">
        <v>189</v>
      </c>
      <c r="G16" s="29" t="s">
        <v>160</v>
      </c>
      <c r="H16" s="22" t="s">
        <v>191</v>
      </c>
      <c r="I16" s="37" t="s">
        <v>233</v>
      </c>
      <c r="J16" s="37" t="s">
        <v>234</v>
      </c>
      <c r="K16" s="38" t="s">
        <v>235</v>
      </c>
      <c r="L16" s="39" t="s">
        <v>236</v>
      </c>
      <c r="M16" s="39" t="s">
        <v>241</v>
      </c>
      <c r="N16" s="40" t="s">
        <v>238</v>
      </c>
    </row>
    <row r="17" spans="2:14" ht="24" customHeight="1" x14ac:dyDescent="0.3">
      <c r="B17" s="23" t="s">
        <v>83</v>
      </c>
      <c r="C17" s="18" t="s">
        <v>193</v>
      </c>
      <c r="D17" s="25" t="s">
        <v>242</v>
      </c>
      <c r="E17" s="30" t="s">
        <v>160</v>
      </c>
      <c r="F17" s="21" t="s">
        <v>189</v>
      </c>
      <c r="G17" s="30" t="s">
        <v>160</v>
      </c>
      <c r="H17" s="25" t="s">
        <v>191</v>
      </c>
      <c r="I17" s="37" t="s">
        <v>233</v>
      </c>
      <c r="J17" s="37" t="s">
        <v>234</v>
      </c>
      <c r="K17" s="38" t="s">
        <v>235</v>
      </c>
      <c r="L17" s="39" t="s">
        <v>236</v>
      </c>
      <c r="M17" s="39" t="s">
        <v>241</v>
      </c>
      <c r="N17" s="41" t="s">
        <v>238</v>
      </c>
    </row>
    <row r="18" spans="2:14" ht="24" customHeight="1" x14ac:dyDescent="0.3">
      <c r="B18" s="17" t="s">
        <v>84</v>
      </c>
      <c r="C18" s="18" t="s">
        <v>194</v>
      </c>
      <c r="D18" s="22" t="s">
        <v>242</v>
      </c>
      <c r="E18" s="29" t="s">
        <v>160</v>
      </c>
      <c r="F18" s="21" t="s">
        <v>180</v>
      </c>
      <c r="G18" s="22" t="s">
        <v>175</v>
      </c>
      <c r="H18" s="22" t="s">
        <v>191</v>
      </c>
      <c r="I18" s="37" t="s">
        <v>233</v>
      </c>
      <c r="J18" s="37" t="s">
        <v>234</v>
      </c>
      <c r="K18" s="38" t="s">
        <v>235</v>
      </c>
      <c r="L18" s="39" t="s">
        <v>236</v>
      </c>
      <c r="M18" s="39" t="s">
        <v>241</v>
      </c>
      <c r="N18" s="40" t="s">
        <v>238</v>
      </c>
    </row>
    <row r="19" spans="2:14" ht="24" customHeight="1" x14ac:dyDescent="0.3">
      <c r="B19" s="23" t="s">
        <v>85</v>
      </c>
      <c r="C19" s="18" t="s">
        <v>195</v>
      </c>
      <c r="D19" s="25" t="s">
        <v>242</v>
      </c>
      <c r="E19" s="25" t="s">
        <v>174</v>
      </c>
      <c r="F19" s="27" t="s">
        <v>196</v>
      </c>
      <c r="G19" s="30" t="s">
        <v>160</v>
      </c>
      <c r="H19" s="25" t="s">
        <v>197</v>
      </c>
      <c r="I19" s="37" t="s">
        <v>233</v>
      </c>
      <c r="J19" s="37" t="s">
        <v>234</v>
      </c>
      <c r="K19" s="38" t="s">
        <v>235</v>
      </c>
      <c r="L19" s="39" t="s">
        <v>236</v>
      </c>
      <c r="M19" s="39" t="s">
        <v>241</v>
      </c>
      <c r="N19" s="41" t="s">
        <v>238</v>
      </c>
    </row>
    <row r="20" spans="2:14" ht="24" customHeight="1" x14ac:dyDescent="0.3">
      <c r="B20" s="17" t="s">
        <v>86</v>
      </c>
      <c r="C20" s="18" t="s">
        <v>198</v>
      </c>
      <c r="D20" s="22" t="s">
        <v>242</v>
      </c>
      <c r="E20" s="29" t="s">
        <v>160</v>
      </c>
      <c r="F20" s="27" t="s">
        <v>199</v>
      </c>
      <c r="G20" s="22" t="s">
        <v>175</v>
      </c>
      <c r="H20" s="22" t="s">
        <v>181</v>
      </c>
      <c r="I20" s="37" t="s">
        <v>233</v>
      </c>
      <c r="J20" s="37" t="s">
        <v>234</v>
      </c>
      <c r="K20" s="38" t="s">
        <v>235</v>
      </c>
      <c r="L20" s="39" t="s">
        <v>236</v>
      </c>
      <c r="M20" s="39" t="s">
        <v>241</v>
      </c>
      <c r="N20" s="40" t="s">
        <v>238</v>
      </c>
    </row>
    <row r="21" spans="2:14" ht="24" customHeight="1" x14ac:dyDescent="0.3">
      <c r="B21" s="23" t="s">
        <v>88</v>
      </c>
      <c r="C21" s="18" t="s">
        <v>200</v>
      </c>
      <c r="D21" s="25" t="s">
        <v>242</v>
      </c>
      <c r="E21" s="30" t="s">
        <v>160</v>
      </c>
      <c r="F21" s="21" t="s">
        <v>180</v>
      </c>
      <c r="G21" s="25" t="s">
        <v>175</v>
      </c>
      <c r="H21" s="25" t="s">
        <v>197</v>
      </c>
      <c r="I21" s="37" t="s">
        <v>233</v>
      </c>
      <c r="J21" s="37" t="s">
        <v>234</v>
      </c>
      <c r="K21" s="38" t="s">
        <v>235</v>
      </c>
      <c r="L21" s="39" t="s">
        <v>236</v>
      </c>
      <c r="M21" s="39" t="s">
        <v>241</v>
      </c>
      <c r="N21" s="41" t="s">
        <v>238</v>
      </c>
    </row>
    <row r="22" spans="2:14" ht="24" customHeight="1" x14ac:dyDescent="0.3">
      <c r="B22" s="17" t="s">
        <v>89</v>
      </c>
      <c r="C22" s="18" t="s">
        <v>201</v>
      </c>
      <c r="D22" s="22" t="s">
        <v>242</v>
      </c>
      <c r="E22" s="22" t="s">
        <v>202</v>
      </c>
      <c r="F22" s="21" t="s">
        <v>189</v>
      </c>
      <c r="G22" s="29" t="s">
        <v>160</v>
      </c>
      <c r="H22" s="22" t="s">
        <v>197</v>
      </c>
      <c r="I22" s="37" t="s">
        <v>233</v>
      </c>
      <c r="J22" s="37" t="s">
        <v>234</v>
      </c>
      <c r="K22" s="38" t="s">
        <v>235</v>
      </c>
      <c r="L22" s="39" t="s">
        <v>236</v>
      </c>
      <c r="M22" s="39" t="s">
        <v>241</v>
      </c>
      <c r="N22" s="40" t="s">
        <v>238</v>
      </c>
    </row>
    <row r="23" spans="2:14" ht="24" customHeight="1" x14ac:dyDescent="0.3">
      <c r="B23" s="23" t="s">
        <v>90</v>
      </c>
      <c r="C23" s="18" t="s">
        <v>203</v>
      </c>
      <c r="D23" s="25" t="s">
        <v>242</v>
      </c>
      <c r="E23" s="25" t="s">
        <v>174</v>
      </c>
      <c r="F23" s="21" t="s">
        <v>204</v>
      </c>
      <c r="G23" s="30" t="s">
        <v>160</v>
      </c>
      <c r="H23" s="25" t="s">
        <v>197</v>
      </c>
      <c r="I23" s="37" t="s">
        <v>233</v>
      </c>
      <c r="J23" s="37" t="s">
        <v>234</v>
      </c>
      <c r="K23" s="38" t="s">
        <v>235</v>
      </c>
      <c r="L23" s="39" t="s">
        <v>236</v>
      </c>
      <c r="M23" s="39" t="s">
        <v>241</v>
      </c>
      <c r="N23" s="41" t="s">
        <v>238</v>
      </c>
    </row>
    <row r="24" spans="2:14" ht="24" customHeight="1" x14ac:dyDescent="0.3">
      <c r="B24" s="17" t="s">
        <v>91</v>
      </c>
      <c r="C24" s="18" t="s">
        <v>205</v>
      </c>
      <c r="D24" s="22" t="s">
        <v>242</v>
      </c>
      <c r="E24" s="22" t="s">
        <v>206</v>
      </c>
      <c r="F24" s="21" t="s">
        <v>180</v>
      </c>
      <c r="G24" s="29" t="s">
        <v>160</v>
      </c>
      <c r="H24" s="22" t="s">
        <v>191</v>
      </c>
      <c r="I24" s="37" t="s">
        <v>233</v>
      </c>
      <c r="J24" s="37" t="s">
        <v>234</v>
      </c>
      <c r="K24" s="38" t="s">
        <v>235</v>
      </c>
      <c r="L24" s="39" t="s">
        <v>236</v>
      </c>
      <c r="M24" s="39" t="s">
        <v>241</v>
      </c>
      <c r="N24" s="40" t="s">
        <v>238</v>
      </c>
    </row>
    <row r="25" spans="2:14" ht="24" customHeight="1" x14ac:dyDescent="0.3">
      <c r="B25" s="23" t="s">
        <v>92</v>
      </c>
      <c r="C25" s="18" t="s">
        <v>207</v>
      </c>
      <c r="D25" s="25" t="s">
        <v>243</v>
      </c>
      <c r="E25" s="25" t="s">
        <v>206</v>
      </c>
      <c r="F25" s="27" t="s">
        <v>196</v>
      </c>
      <c r="G25" s="30" t="s">
        <v>160</v>
      </c>
      <c r="H25" s="25" t="s">
        <v>181</v>
      </c>
      <c r="I25" s="37" t="s">
        <v>233</v>
      </c>
      <c r="J25" s="37" t="s">
        <v>234</v>
      </c>
      <c r="K25" s="38" t="s">
        <v>235</v>
      </c>
      <c r="L25" s="39" t="s">
        <v>236</v>
      </c>
      <c r="M25" s="39" t="s">
        <v>241</v>
      </c>
      <c r="N25" s="41" t="s">
        <v>238</v>
      </c>
    </row>
    <row r="26" spans="2:14" ht="24" customHeight="1" x14ac:dyDescent="0.3">
      <c r="B26" s="17" t="s">
        <v>93</v>
      </c>
      <c r="C26" s="18" t="s">
        <v>208</v>
      </c>
      <c r="D26" s="22" t="s">
        <v>242</v>
      </c>
      <c r="E26" s="29" t="s">
        <v>160</v>
      </c>
      <c r="F26" s="27" t="s">
        <v>196</v>
      </c>
      <c r="G26" s="29" t="s">
        <v>160</v>
      </c>
      <c r="H26" s="22" t="s">
        <v>181</v>
      </c>
      <c r="I26" s="37" t="s">
        <v>233</v>
      </c>
      <c r="J26" s="37" t="s">
        <v>234</v>
      </c>
      <c r="K26" s="38" t="s">
        <v>235</v>
      </c>
      <c r="L26" s="39" t="s">
        <v>236</v>
      </c>
      <c r="M26" s="39" t="s">
        <v>241</v>
      </c>
      <c r="N26" s="40" t="s">
        <v>238</v>
      </c>
    </row>
    <row r="27" spans="2:14" ht="24" customHeight="1" x14ac:dyDescent="0.3">
      <c r="B27" s="23" t="s">
        <v>94</v>
      </c>
      <c r="C27" s="18" t="s">
        <v>209</v>
      </c>
      <c r="D27" s="25" t="s">
        <v>243</v>
      </c>
      <c r="E27" s="25" t="s">
        <v>210</v>
      </c>
      <c r="F27" s="27" t="s">
        <v>196</v>
      </c>
      <c r="G27" s="30" t="s">
        <v>160</v>
      </c>
      <c r="H27" s="25" t="s">
        <v>211</v>
      </c>
      <c r="I27" s="37" t="s">
        <v>233</v>
      </c>
      <c r="J27" s="37" t="s">
        <v>234</v>
      </c>
      <c r="K27" s="38" t="s">
        <v>235</v>
      </c>
      <c r="L27" s="39" t="s">
        <v>236</v>
      </c>
      <c r="M27" s="39" t="s">
        <v>241</v>
      </c>
      <c r="N27" s="41" t="s">
        <v>238</v>
      </c>
    </row>
    <row r="28" spans="2:14" ht="24" customHeight="1" x14ac:dyDescent="0.3">
      <c r="B28" s="17" t="s">
        <v>95</v>
      </c>
      <c r="C28" s="18" t="s">
        <v>212</v>
      </c>
      <c r="D28" s="22" t="s">
        <v>242</v>
      </c>
      <c r="E28" s="29" t="s">
        <v>160</v>
      </c>
      <c r="F28" s="27" t="s">
        <v>196</v>
      </c>
      <c r="G28" s="29" t="s">
        <v>160</v>
      </c>
      <c r="H28" s="22" t="s">
        <v>181</v>
      </c>
      <c r="I28" s="37" t="s">
        <v>233</v>
      </c>
      <c r="J28" s="37" t="s">
        <v>234</v>
      </c>
      <c r="K28" s="38" t="s">
        <v>235</v>
      </c>
      <c r="L28" s="39" t="s">
        <v>236</v>
      </c>
      <c r="M28" s="39" t="s">
        <v>241</v>
      </c>
      <c r="N28" s="40" t="s">
        <v>238</v>
      </c>
    </row>
    <row r="29" spans="2:14" ht="24" customHeight="1" x14ac:dyDescent="0.3">
      <c r="B29" s="23" t="s">
        <v>96</v>
      </c>
      <c r="C29" s="18" t="s">
        <v>213</v>
      </c>
      <c r="D29" s="25" t="s">
        <v>242</v>
      </c>
      <c r="E29" s="30" t="s">
        <v>160</v>
      </c>
      <c r="F29" s="27" t="s">
        <v>196</v>
      </c>
      <c r="G29" s="30" t="s">
        <v>160</v>
      </c>
      <c r="H29" s="25" t="s">
        <v>191</v>
      </c>
      <c r="I29" s="37" t="s">
        <v>233</v>
      </c>
      <c r="J29" s="37" t="s">
        <v>234</v>
      </c>
      <c r="K29" s="38" t="s">
        <v>235</v>
      </c>
      <c r="L29" s="39" t="s">
        <v>236</v>
      </c>
      <c r="M29" s="39" t="s">
        <v>241</v>
      </c>
      <c r="N29" s="41" t="s">
        <v>238</v>
      </c>
    </row>
    <row r="30" spans="2:14" ht="24" customHeight="1" x14ac:dyDescent="0.3">
      <c r="B30" s="17" t="s">
        <v>97</v>
      </c>
      <c r="C30" s="18" t="s">
        <v>214</v>
      </c>
      <c r="D30" s="22" t="s">
        <v>243</v>
      </c>
      <c r="E30" s="29" t="s">
        <v>160</v>
      </c>
      <c r="F30" s="21" t="s">
        <v>180</v>
      </c>
      <c r="G30" s="29" t="s">
        <v>160</v>
      </c>
      <c r="H30" s="22" t="s">
        <v>191</v>
      </c>
      <c r="I30" s="37" t="s">
        <v>233</v>
      </c>
      <c r="J30" s="37" t="s">
        <v>234</v>
      </c>
      <c r="K30" s="38" t="s">
        <v>235</v>
      </c>
      <c r="L30" s="39" t="s">
        <v>236</v>
      </c>
      <c r="M30" s="39" t="s">
        <v>241</v>
      </c>
      <c r="N30" s="42" t="s">
        <v>161</v>
      </c>
    </row>
  </sheetData>
  <mergeCells count="5">
    <mergeCell ref="I4:J4"/>
    <mergeCell ref="L4:M4"/>
    <mergeCell ref="F4:H4"/>
    <mergeCell ref="D4:E4"/>
    <mergeCell ref="B2:N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30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3" customWidth="1"/>
    <col min="2" max="2" width="5" customWidth="1"/>
    <col min="3" max="3" width="36" customWidth="1"/>
    <col min="4" max="4" width="22" customWidth="1"/>
    <col min="5" max="5" width="20" customWidth="1"/>
    <col min="6" max="6" width="16" customWidth="1"/>
    <col min="7" max="7" width="20" customWidth="1"/>
    <col min="8" max="9" width="18" customWidth="1"/>
    <col min="10" max="10" width="22" customWidth="1"/>
    <col min="11" max="11" width="28" customWidth="1"/>
  </cols>
  <sheetData>
    <row r="2" spans="2:11" ht="24" customHeight="1" x14ac:dyDescent="0.3">
      <c r="B2" s="122" t="s">
        <v>244</v>
      </c>
      <c r="C2" s="111"/>
      <c r="D2" s="111"/>
      <c r="E2" s="111"/>
      <c r="F2" s="111"/>
      <c r="G2" s="111"/>
      <c r="H2" s="111"/>
      <c r="I2" s="111"/>
      <c r="J2" s="111"/>
      <c r="K2" s="111"/>
    </row>
    <row r="3" spans="2:11" ht="24" customHeight="1" x14ac:dyDescent="0.3">
      <c r="B3" s="112"/>
      <c r="C3" s="61"/>
      <c r="D3" s="61"/>
      <c r="E3" s="61"/>
      <c r="F3" s="61"/>
      <c r="G3" s="61"/>
      <c r="H3" s="61"/>
      <c r="I3" s="61"/>
      <c r="J3" s="61"/>
      <c r="K3" s="61"/>
    </row>
    <row r="4" spans="2:11" ht="15.75" customHeight="1" x14ac:dyDescent="0.3">
      <c r="B4" s="118" t="s">
        <v>245</v>
      </c>
      <c r="C4" s="108"/>
      <c r="D4" s="108"/>
      <c r="E4" s="108"/>
      <c r="F4" s="108"/>
      <c r="G4" s="108"/>
      <c r="H4" s="108"/>
      <c r="I4" s="108"/>
      <c r="J4" s="108"/>
      <c r="K4" s="108"/>
    </row>
    <row r="5" spans="2:11" ht="33.75" customHeight="1" x14ac:dyDescent="0.3">
      <c r="B5" s="11" t="s">
        <v>141</v>
      </c>
      <c r="C5" s="12" t="s">
        <v>142</v>
      </c>
      <c r="D5" s="13" t="s">
        <v>246</v>
      </c>
      <c r="E5" s="13" t="s">
        <v>247</v>
      </c>
      <c r="F5" s="13" t="s">
        <v>248</v>
      </c>
      <c r="G5" s="15" t="s">
        <v>249</v>
      </c>
      <c r="H5" s="15" t="s">
        <v>250</v>
      </c>
      <c r="I5" s="36" t="s">
        <v>251</v>
      </c>
      <c r="J5" s="35" t="s">
        <v>252</v>
      </c>
      <c r="K5" s="11" t="s">
        <v>253</v>
      </c>
    </row>
    <row r="6" spans="2:11" ht="21.75" customHeight="1" x14ac:dyDescent="0.3">
      <c r="B6" s="43" t="s">
        <v>158</v>
      </c>
      <c r="C6" s="44" t="s">
        <v>159</v>
      </c>
      <c r="D6" s="22" t="s">
        <v>254</v>
      </c>
      <c r="E6" s="22" t="s">
        <v>255</v>
      </c>
      <c r="F6" s="22" t="s">
        <v>256</v>
      </c>
      <c r="G6" s="22" t="s">
        <v>257</v>
      </c>
      <c r="H6" s="45" t="s">
        <v>76</v>
      </c>
      <c r="I6" s="45" t="s">
        <v>76</v>
      </c>
      <c r="J6" s="22" t="s">
        <v>258</v>
      </c>
      <c r="K6" s="22" t="s">
        <v>259</v>
      </c>
    </row>
    <row r="7" spans="2:11" ht="21.75" customHeight="1" x14ac:dyDescent="0.3">
      <c r="B7" s="43" t="s">
        <v>166</v>
      </c>
      <c r="C7" s="44" t="s">
        <v>167</v>
      </c>
      <c r="D7" s="25" t="s">
        <v>254</v>
      </c>
      <c r="E7" s="25" t="s">
        <v>255</v>
      </c>
      <c r="F7" s="25" t="s">
        <v>260</v>
      </c>
      <c r="G7" s="25" t="s">
        <v>257</v>
      </c>
      <c r="H7" s="46" t="s">
        <v>161</v>
      </c>
      <c r="I7" s="46" t="s">
        <v>161</v>
      </c>
      <c r="J7" s="25" t="s">
        <v>261</v>
      </c>
      <c r="K7" s="30"/>
    </row>
    <row r="8" spans="2:11" ht="21.75" customHeight="1" x14ac:dyDescent="0.3">
      <c r="B8" s="43" t="s">
        <v>169</v>
      </c>
      <c r="C8" s="44" t="s">
        <v>170</v>
      </c>
      <c r="D8" s="22" t="s">
        <v>254</v>
      </c>
      <c r="E8" s="22" t="s">
        <v>255</v>
      </c>
      <c r="F8" s="22" t="s">
        <v>260</v>
      </c>
      <c r="G8" s="22" t="s">
        <v>257</v>
      </c>
      <c r="H8" s="46" t="s">
        <v>161</v>
      </c>
      <c r="I8" s="46" t="s">
        <v>161</v>
      </c>
      <c r="J8" s="22" t="s">
        <v>261</v>
      </c>
      <c r="K8" s="29"/>
    </row>
    <row r="9" spans="2:11" ht="21.75" customHeight="1" x14ac:dyDescent="0.3">
      <c r="B9" s="43" t="s">
        <v>171</v>
      </c>
      <c r="C9" s="44" t="s">
        <v>172</v>
      </c>
      <c r="D9" s="25" t="s">
        <v>262</v>
      </c>
      <c r="E9" s="25" t="s">
        <v>255</v>
      </c>
      <c r="F9" s="25" t="s">
        <v>263</v>
      </c>
      <c r="G9" s="25" t="s">
        <v>263</v>
      </c>
      <c r="H9" s="45" t="s">
        <v>76</v>
      </c>
      <c r="I9" s="45" t="s">
        <v>76</v>
      </c>
      <c r="J9" s="25" t="s">
        <v>258</v>
      </c>
      <c r="K9" s="25" t="s">
        <v>264</v>
      </c>
    </row>
    <row r="10" spans="2:11" ht="21.75" customHeight="1" x14ac:dyDescent="0.3">
      <c r="B10" s="43" t="s">
        <v>176</v>
      </c>
      <c r="C10" s="44" t="s">
        <v>177</v>
      </c>
      <c r="D10" s="22" t="s">
        <v>262</v>
      </c>
      <c r="E10" s="22" t="s">
        <v>255</v>
      </c>
      <c r="F10" s="22" t="s">
        <v>263</v>
      </c>
      <c r="G10" s="22" t="s">
        <v>263</v>
      </c>
      <c r="H10" s="45" t="s">
        <v>76</v>
      </c>
      <c r="I10" s="45" t="s">
        <v>76</v>
      </c>
      <c r="J10" s="22" t="s">
        <v>258</v>
      </c>
      <c r="K10" s="22" t="s">
        <v>264</v>
      </c>
    </row>
    <row r="11" spans="2:11" ht="21.75" customHeight="1" x14ac:dyDescent="0.3">
      <c r="B11" s="43" t="s">
        <v>178</v>
      </c>
      <c r="C11" s="44" t="s">
        <v>179</v>
      </c>
      <c r="D11" s="25" t="s">
        <v>262</v>
      </c>
      <c r="E11" s="25" t="s">
        <v>255</v>
      </c>
      <c r="F11" s="25" t="s">
        <v>263</v>
      </c>
      <c r="G11" s="25" t="s">
        <v>263</v>
      </c>
      <c r="H11" s="45" t="s">
        <v>76</v>
      </c>
      <c r="I11" s="45" t="s">
        <v>76</v>
      </c>
      <c r="J11" s="25" t="s">
        <v>258</v>
      </c>
      <c r="K11" s="25" t="s">
        <v>264</v>
      </c>
    </row>
    <row r="12" spans="2:11" ht="21.75" customHeight="1" x14ac:dyDescent="0.3">
      <c r="B12" s="43" t="s">
        <v>182</v>
      </c>
      <c r="C12" s="44" t="s">
        <v>183</v>
      </c>
      <c r="D12" s="22" t="s">
        <v>262</v>
      </c>
      <c r="E12" s="22" t="s">
        <v>255</v>
      </c>
      <c r="F12" s="22" t="s">
        <v>263</v>
      </c>
      <c r="G12" s="22" t="s">
        <v>263</v>
      </c>
      <c r="H12" s="45" t="s">
        <v>76</v>
      </c>
      <c r="I12" s="45" t="s">
        <v>76</v>
      </c>
      <c r="J12" s="22" t="s">
        <v>258</v>
      </c>
      <c r="K12" s="22" t="s">
        <v>264</v>
      </c>
    </row>
    <row r="13" spans="2:11" ht="21.75" customHeight="1" x14ac:dyDescent="0.3">
      <c r="B13" s="43" t="s">
        <v>185</v>
      </c>
      <c r="C13" s="44" t="s">
        <v>186</v>
      </c>
      <c r="D13" s="25" t="s">
        <v>262</v>
      </c>
      <c r="E13" s="25" t="s">
        <v>255</v>
      </c>
      <c r="F13" s="25" t="s">
        <v>263</v>
      </c>
      <c r="G13" s="25" t="s">
        <v>263</v>
      </c>
      <c r="H13" s="45" t="s">
        <v>76</v>
      </c>
      <c r="I13" s="45" t="s">
        <v>76</v>
      </c>
      <c r="J13" s="25" t="s">
        <v>258</v>
      </c>
      <c r="K13" s="25" t="s">
        <v>264</v>
      </c>
    </row>
    <row r="14" spans="2:11" ht="21.75" customHeight="1" x14ac:dyDescent="0.3">
      <c r="B14" s="43" t="s">
        <v>187</v>
      </c>
      <c r="C14" s="44" t="s">
        <v>188</v>
      </c>
      <c r="D14" s="22" t="s">
        <v>262</v>
      </c>
      <c r="E14" s="22" t="s">
        <v>255</v>
      </c>
      <c r="F14" s="22" t="s">
        <v>263</v>
      </c>
      <c r="G14" s="22" t="s">
        <v>263</v>
      </c>
      <c r="H14" s="45" t="s">
        <v>76</v>
      </c>
      <c r="I14" s="45" t="s">
        <v>76</v>
      </c>
      <c r="J14" s="22" t="s">
        <v>258</v>
      </c>
      <c r="K14" s="22" t="s">
        <v>264</v>
      </c>
    </row>
    <row r="15" spans="2:11" ht="21.75" customHeight="1" x14ac:dyDescent="0.3">
      <c r="B15" s="43" t="s">
        <v>81</v>
      </c>
      <c r="C15" s="44" t="s">
        <v>190</v>
      </c>
      <c r="D15" s="25" t="s">
        <v>265</v>
      </c>
      <c r="E15" s="25" t="s">
        <v>266</v>
      </c>
      <c r="F15" s="25" t="s">
        <v>260</v>
      </c>
      <c r="G15" s="25" t="s">
        <v>257</v>
      </c>
      <c r="H15" s="46" t="s">
        <v>161</v>
      </c>
      <c r="I15" s="46" t="s">
        <v>161</v>
      </c>
      <c r="J15" s="25" t="s">
        <v>267</v>
      </c>
      <c r="K15" s="25" t="s">
        <v>268</v>
      </c>
    </row>
    <row r="16" spans="2:11" ht="21.75" customHeight="1" x14ac:dyDescent="0.3">
      <c r="B16" s="43" t="s">
        <v>82</v>
      </c>
      <c r="C16" s="44" t="s">
        <v>192</v>
      </c>
      <c r="D16" s="22" t="s">
        <v>262</v>
      </c>
      <c r="E16" s="22" t="s">
        <v>255</v>
      </c>
      <c r="F16" s="22" t="s">
        <v>263</v>
      </c>
      <c r="G16" s="22" t="s">
        <v>263</v>
      </c>
      <c r="H16" s="45" t="s">
        <v>76</v>
      </c>
      <c r="I16" s="45" t="s">
        <v>76</v>
      </c>
      <c r="J16" s="22" t="s">
        <v>258</v>
      </c>
      <c r="K16" s="22" t="s">
        <v>264</v>
      </c>
    </row>
    <row r="17" spans="2:11" ht="21.75" customHeight="1" x14ac:dyDescent="0.3">
      <c r="B17" s="43" t="s">
        <v>83</v>
      </c>
      <c r="C17" s="44" t="s">
        <v>193</v>
      </c>
      <c r="D17" s="25" t="s">
        <v>254</v>
      </c>
      <c r="E17" s="25" t="s">
        <v>266</v>
      </c>
      <c r="F17" s="25" t="s">
        <v>269</v>
      </c>
      <c r="G17" s="25" t="s">
        <v>257</v>
      </c>
      <c r="H17" s="46" t="s">
        <v>161</v>
      </c>
      <c r="I17" s="46" t="s">
        <v>161</v>
      </c>
      <c r="J17" s="25" t="s">
        <v>261</v>
      </c>
      <c r="K17" s="30"/>
    </row>
    <row r="18" spans="2:11" ht="21.75" customHeight="1" x14ac:dyDescent="0.3">
      <c r="B18" s="43" t="s">
        <v>84</v>
      </c>
      <c r="C18" s="44" t="s">
        <v>194</v>
      </c>
      <c r="D18" s="22" t="s">
        <v>254</v>
      </c>
      <c r="E18" s="22" t="s">
        <v>266</v>
      </c>
      <c r="F18" s="22" t="s">
        <v>269</v>
      </c>
      <c r="G18" s="22" t="s">
        <v>257</v>
      </c>
      <c r="H18" s="46" t="s">
        <v>161</v>
      </c>
      <c r="I18" s="46" t="s">
        <v>161</v>
      </c>
      <c r="J18" s="22" t="s">
        <v>261</v>
      </c>
      <c r="K18" s="29"/>
    </row>
    <row r="19" spans="2:11" ht="21.75" customHeight="1" x14ac:dyDescent="0.3">
      <c r="B19" s="43" t="s">
        <v>85</v>
      </c>
      <c r="C19" s="44" t="s">
        <v>195</v>
      </c>
      <c r="D19" s="25" t="s">
        <v>262</v>
      </c>
      <c r="E19" s="25" t="s">
        <v>255</v>
      </c>
      <c r="F19" s="25" t="s">
        <v>263</v>
      </c>
      <c r="G19" s="25" t="s">
        <v>263</v>
      </c>
      <c r="H19" s="45" t="s">
        <v>76</v>
      </c>
      <c r="I19" s="45" t="s">
        <v>76</v>
      </c>
      <c r="J19" s="25" t="s">
        <v>258</v>
      </c>
      <c r="K19" s="25" t="s">
        <v>264</v>
      </c>
    </row>
    <row r="20" spans="2:11" ht="21.75" customHeight="1" x14ac:dyDescent="0.3">
      <c r="B20" s="43" t="s">
        <v>86</v>
      </c>
      <c r="C20" s="44" t="s">
        <v>198</v>
      </c>
      <c r="D20" s="22" t="s">
        <v>265</v>
      </c>
      <c r="E20" s="22" t="s">
        <v>255</v>
      </c>
      <c r="F20" s="22" t="s">
        <v>270</v>
      </c>
      <c r="G20" s="22" t="s">
        <v>271</v>
      </c>
      <c r="H20" s="46" t="s">
        <v>161</v>
      </c>
      <c r="I20" s="46" t="s">
        <v>161</v>
      </c>
      <c r="J20" s="22" t="s">
        <v>267</v>
      </c>
      <c r="K20" s="22" t="s">
        <v>272</v>
      </c>
    </row>
    <row r="21" spans="2:11" ht="21.75" customHeight="1" x14ac:dyDescent="0.3">
      <c r="B21" s="43" t="s">
        <v>88</v>
      </c>
      <c r="C21" s="44" t="s">
        <v>200</v>
      </c>
      <c r="D21" s="25" t="s">
        <v>262</v>
      </c>
      <c r="E21" s="25" t="s">
        <v>255</v>
      </c>
      <c r="F21" s="25" t="s">
        <v>263</v>
      </c>
      <c r="G21" s="25" t="s">
        <v>263</v>
      </c>
      <c r="H21" s="45" t="s">
        <v>76</v>
      </c>
      <c r="I21" s="45" t="s">
        <v>76</v>
      </c>
      <c r="J21" s="25" t="s">
        <v>258</v>
      </c>
      <c r="K21" s="25" t="s">
        <v>264</v>
      </c>
    </row>
    <row r="22" spans="2:11" ht="21.75" customHeight="1" x14ac:dyDescent="0.3">
      <c r="B22" s="43" t="s">
        <v>89</v>
      </c>
      <c r="C22" s="44" t="s">
        <v>201</v>
      </c>
      <c r="D22" s="22" t="s">
        <v>262</v>
      </c>
      <c r="E22" s="22" t="s">
        <v>255</v>
      </c>
      <c r="F22" s="22" t="s">
        <v>263</v>
      </c>
      <c r="G22" s="22" t="s">
        <v>263</v>
      </c>
      <c r="H22" s="45" t="s">
        <v>76</v>
      </c>
      <c r="I22" s="45" t="s">
        <v>76</v>
      </c>
      <c r="J22" s="22" t="s">
        <v>258</v>
      </c>
      <c r="K22" s="22" t="s">
        <v>264</v>
      </c>
    </row>
    <row r="23" spans="2:11" ht="21.75" customHeight="1" x14ac:dyDescent="0.3">
      <c r="B23" s="43" t="s">
        <v>90</v>
      </c>
      <c r="C23" s="44" t="s">
        <v>203</v>
      </c>
      <c r="D23" s="25" t="s">
        <v>262</v>
      </c>
      <c r="E23" s="25" t="s">
        <v>255</v>
      </c>
      <c r="F23" s="25" t="s">
        <v>263</v>
      </c>
      <c r="G23" s="25" t="s">
        <v>263</v>
      </c>
      <c r="H23" s="45" t="s">
        <v>76</v>
      </c>
      <c r="I23" s="45" t="s">
        <v>76</v>
      </c>
      <c r="J23" s="25" t="s">
        <v>258</v>
      </c>
      <c r="K23" s="25" t="s">
        <v>264</v>
      </c>
    </row>
    <row r="24" spans="2:11" ht="21.75" customHeight="1" x14ac:dyDescent="0.3">
      <c r="B24" s="43" t="s">
        <v>91</v>
      </c>
      <c r="C24" s="44" t="s">
        <v>205</v>
      </c>
      <c r="D24" s="22" t="s">
        <v>262</v>
      </c>
      <c r="E24" s="22" t="s">
        <v>255</v>
      </c>
      <c r="F24" s="22" t="s">
        <v>263</v>
      </c>
      <c r="G24" s="22" t="s">
        <v>263</v>
      </c>
      <c r="H24" s="45" t="s">
        <v>76</v>
      </c>
      <c r="I24" s="45" t="s">
        <v>76</v>
      </c>
      <c r="J24" s="22" t="s">
        <v>258</v>
      </c>
      <c r="K24" s="22" t="s">
        <v>264</v>
      </c>
    </row>
    <row r="25" spans="2:11" ht="21.75" customHeight="1" x14ac:dyDescent="0.3">
      <c r="B25" s="43" t="s">
        <v>92</v>
      </c>
      <c r="C25" s="44" t="s">
        <v>207</v>
      </c>
      <c r="D25" s="25" t="s">
        <v>262</v>
      </c>
      <c r="E25" s="25" t="s">
        <v>255</v>
      </c>
      <c r="F25" s="25" t="s">
        <v>263</v>
      </c>
      <c r="G25" s="25" t="s">
        <v>263</v>
      </c>
      <c r="H25" s="45" t="s">
        <v>76</v>
      </c>
      <c r="I25" s="45" t="s">
        <v>76</v>
      </c>
      <c r="J25" s="25" t="s">
        <v>258</v>
      </c>
      <c r="K25" s="25" t="s">
        <v>264</v>
      </c>
    </row>
    <row r="26" spans="2:11" ht="21.75" customHeight="1" x14ac:dyDescent="0.3">
      <c r="B26" s="43" t="s">
        <v>93</v>
      </c>
      <c r="C26" s="44" t="s">
        <v>208</v>
      </c>
      <c r="D26" s="22" t="s">
        <v>262</v>
      </c>
      <c r="E26" s="22" t="s">
        <v>255</v>
      </c>
      <c r="F26" s="22" t="s">
        <v>263</v>
      </c>
      <c r="G26" s="22" t="s">
        <v>263</v>
      </c>
      <c r="H26" s="45" t="s">
        <v>76</v>
      </c>
      <c r="I26" s="45" t="s">
        <v>76</v>
      </c>
      <c r="J26" s="22" t="s">
        <v>258</v>
      </c>
      <c r="K26" s="22" t="s">
        <v>264</v>
      </c>
    </row>
    <row r="27" spans="2:11" ht="21.75" customHeight="1" x14ac:dyDescent="0.3">
      <c r="B27" s="43" t="s">
        <v>94</v>
      </c>
      <c r="C27" s="44" t="s">
        <v>209</v>
      </c>
      <c r="D27" s="25" t="s">
        <v>262</v>
      </c>
      <c r="E27" s="25" t="s">
        <v>255</v>
      </c>
      <c r="F27" s="25" t="s">
        <v>263</v>
      </c>
      <c r="G27" s="25" t="s">
        <v>263</v>
      </c>
      <c r="H27" s="45" t="s">
        <v>76</v>
      </c>
      <c r="I27" s="45" t="s">
        <v>76</v>
      </c>
      <c r="J27" s="25" t="s">
        <v>258</v>
      </c>
      <c r="K27" s="25" t="s">
        <v>264</v>
      </c>
    </row>
    <row r="28" spans="2:11" ht="21.75" customHeight="1" x14ac:dyDescent="0.3">
      <c r="B28" s="43" t="s">
        <v>95</v>
      </c>
      <c r="C28" s="44" t="s">
        <v>212</v>
      </c>
      <c r="D28" s="22" t="s">
        <v>262</v>
      </c>
      <c r="E28" s="22" t="s">
        <v>255</v>
      </c>
      <c r="F28" s="22" t="s">
        <v>263</v>
      </c>
      <c r="G28" s="22" t="s">
        <v>263</v>
      </c>
      <c r="H28" s="45" t="s">
        <v>76</v>
      </c>
      <c r="I28" s="45" t="s">
        <v>76</v>
      </c>
      <c r="J28" s="22" t="s">
        <v>258</v>
      </c>
      <c r="K28" s="22" t="s">
        <v>264</v>
      </c>
    </row>
    <row r="29" spans="2:11" ht="21.75" customHeight="1" x14ac:dyDescent="0.3">
      <c r="B29" s="43" t="s">
        <v>96</v>
      </c>
      <c r="C29" s="44" t="s">
        <v>213</v>
      </c>
      <c r="D29" s="25" t="s">
        <v>262</v>
      </c>
      <c r="E29" s="25" t="s">
        <v>255</v>
      </c>
      <c r="F29" s="25" t="s">
        <v>263</v>
      </c>
      <c r="G29" s="25" t="s">
        <v>263</v>
      </c>
      <c r="H29" s="45" t="s">
        <v>76</v>
      </c>
      <c r="I29" s="45" t="s">
        <v>76</v>
      </c>
      <c r="J29" s="25" t="s">
        <v>258</v>
      </c>
      <c r="K29" s="25" t="s">
        <v>264</v>
      </c>
    </row>
    <row r="30" spans="2:11" ht="21.75" customHeight="1" x14ac:dyDescent="0.3">
      <c r="B30" s="43" t="s">
        <v>97</v>
      </c>
      <c r="C30" s="44" t="s">
        <v>214</v>
      </c>
      <c r="D30" s="22" t="s">
        <v>254</v>
      </c>
      <c r="E30" s="22" t="s">
        <v>255</v>
      </c>
      <c r="F30" s="22" t="s">
        <v>260</v>
      </c>
      <c r="G30" s="22" t="s">
        <v>257</v>
      </c>
      <c r="H30" s="45" t="s">
        <v>76</v>
      </c>
      <c r="I30" s="45" t="s">
        <v>76</v>
      </c>
      <c r="J30" s="22" t="s">
        <v>273</v>
      </c>
      <c r="K30" s="22" t="s">
        <v>274</v>
      </c>
    </row>
  </sheetData>
  <mergeCells count="2">
    <mergeCell ref="B4:K4"/>
    <mergeCell ref="B2:K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End-to-End Flow</vt:lpstr>
      <vt:lpstr>All 25 Products</vt:lpstr>
      <vt:lpstr>Overview &amp; Legend</vt:lpstr>
      <vt:lpstr>Data Source → Product Map</vt:lpstr>
      <vt:lpstr>Survey Flow (All Products)</vt:lpstr>
      <vt:lpstr>Data Governance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Jesinth Nalini</cp:lastModifiedBy>
  <cp:revision>0</cp:revision>
  <dcterms:created xsi:type="dcterms:W3CDTF">2026-03-30T06:38:15Z</dcterms:created>
  <dcterms:modified xsi:type="dcterms:W3CDTF">2026-03-31T06:02:20Z</dcterms:modified>
  <dc:language>en-US</dc:language>
</cp:coreProperties>
</file>